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ron.powers\Downloads\"/>
    </mc:Choice>
  </mc:AlternateContent>
  <xr:revisionPtr revIDLastSave="0" documentId="13_ncr:1_{20699CB2-F8CB-4C0A-B378-7DD789FA39A5}" xr6:coauthVersionLast="47" xr6:coauthVersionMax="47" xr10:uidLastSave="{00000000-0000-0000-0000-000000000000}"/>
  <bookViews>
    <workbookView xWindow="28680" yWindow="-120" windowWidth="29040" windowHeight="16440" activeTab="6" xr2:uid="{8C0DCEFD-E29B-4351-9E61-6869BC141A0C}"/>
  </bookViews>
  <sheets>
    <sheet name="Readme (or don't, whatever)" sheetId="11" r:id="rId1"/>
    <sheet name="Team Data" sheetId="2" r:id="rId2"/>
    <sheet name="Ability Rules" sheetId="8" state="hidden" r:id="rId3"/>
    <sheet name="Movelist" sheetId="7" state="hidden" r:id="rId4"/>
    <sheet name="Type Chart" sheetId="3" state="hidden" r:id="rId5"/>
    <sheet name="Opponent" sheetId="4" state="hidden" r:id="rId6"/>
    <sheet name="Compass" sheetId="5" r:id="rId7"/>
    <sheet name="Lists" sheetId="6" state="hidden" r:id="rId8"/>
    <sheet name="Items" sheetId="12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H2" i="2" l="1"/>
  <c r="AH3" i="2"/>
  <c r="AH4" i="2"/>
  <c r="AH5" i="2"/>
  <c r="AH6" i="2"/>
  <c r="AH7" i="2"/>
  <c r="AG2" i="2"/>
  <c r="AG3" i="2"/>
  <c r="AG4" i="2"/>
  <c r="AG5" i="2"/>
  <c r="AG6" i="2"/>
  <c r="AG7" i="2"/>
  <c r="L5" i="2"/>
  <c r="A10" i="5"/>
  <c r="N10" i="5"/>
  <c r="DL10" i="5"/>
  <c r="A11" i="5"/>
  <c r="N11" i="5"/>
  <c r="DL11" i="5"/>
  <c r="A12" i="5"/>
  <c r="N12" i="5"/>
  <c r="DL12" i="5"/>
  <c r="A13" i="5"/>
  <c r="V13" i="5"/>
  <c r="DM13" i="5"/>
  <c r="A14" i="5"/>
  <c r="AB6" i="2"/>
  <c r="AN14" i="5"/>
  <c r="A15" i="5"/>
  <c r="V15" i="5"/>
  <c r="DM15" i="5"/>
  <c r="N7" i="2"/>
  <c r="AC2" i="2"/>
  <c r="AC3" i="2"/>
  <c r="AC4" i="2"/>
  <c r="AC5" i="2"/>
  <c r="AC6" i="2"/>
  <c r="AC7" i="2"/>
  <c r="AA2" i="2"/>
  <c r="AA3" i="2"/>
  <c r="AA4" i="2"/>
  <c r="AA5" i="2"/>
  <c r="AA6" i="2"/>
  <c r="AA7" i="2"/>
  <c r="X2" i="2"/>
  <c r="X3" i="2"/>
  <c r="X4" i="2"/>
  <c r="X5" i="2"/>
  <c r="X6" i="2"/>
  <c r="X7" i="2"/>
  <c r="V2" i="2"/>
  <c r="V3" i="2"/>
  <c r="V4" i="2"/>
  <c r="V5" i="2"/>
  <c r="V6" i="2"/>
  <c r="V7" i="2"/>
  <c r="S2" i="2"/>
  <c r="S3" i="2"/>
  <c r="S4" i="2"/>
  <c r="S5" i="2"/>
  <c r="S6" i="2"/>
  <c r="S7" i="2"/>
  <c r="Q2" i="2"/>
  <c r="Q3" i="2"/>
  <c r="Q4" i="2"/>
  <c r="Q5" i="2"/>
  <c r="Q6" i="2"/>
  <c r="Q7" i="2"/>
  <c r="N2" i="2"/>
  <c r="N3" i="2"/>
  <c r="N4" i="2"/>
  <c r="N5" i="2"/>
  <c r="N6" i="2"/>
  <c r="L2" i="2"/>
  <c r="L3" i="2"/>
  <c r="O11" i="5"/>
  <c r="L4" i="2"/>
  <c r="L6" i="2"/>
  <c r="L7" i="2"/>
  <c r="AD2" i="2"/>
  <c r="AD3" i="2"/>
  <c r="AD4" i="2"/>
  <c r="AD5" i="2"/>
  <c r="AD6" i="2"/>
  <c r="AD7" i="2"/>
  <c r="AB2" i="2"/>
  <c r="AB3" i="2"/>
  <c r="AB4" i="2"/>
  <c r="AB5" i="2"/>
  <c r="AB7" i="2"/>
  <c r="Y2" i="2"/>
  <c r="Y3" i="2"/>
  <c r="Y4" i="2"/>
  <c r="Y5" i="2"/>
  <c r="Y6" i="2"/>
  <c r="Y7" i="2"/>
  <c r="W2" i="2"/>
  <c r="W3" i="2"/>
  <c r="W4" i="2"/>
  <c r="W5" i="2"/>
  <c r="W6" i="2"/>
  <c r="W7" i="2"/>
  <c r="T2" i="2"/>
  <c r="T3" i="2"/>
  <c r="T4" i="2"/>
  <c r="T5" i="2"/>
  <c r="T6" i="2"/>
  <c r="T7" i="2"/>
  <c r="R2" i="2"/>
  <c r="R3" i="2"/>
  <c r="R4" i="2"/>
  <c r="R5" i="2"/>
  <c r="R6" i="2"/>
  <c r="R7" i="2"/>
  <c r="O2" i="2"/>
  <c r="O3" i="2"/>
  <c r="O4" i="2"/>
  <c r="O5" i="2"/>
  <c r="O6" i="2"/>
  <c r="O7" i="2"/>
  <c r="M2" i="2"/>
  <c r="M3" i="2"/>
  <c r="M4" i="2"/>
  <c r="M5" i="2"/>
  <c r="M6" i="2"/>
  <c r="M7" i="2"/>
  <c r="EI15" i="5" a="1"/>
  <c r="EI15" i="5" s="1"/>
  <c r="EM15" i="5" s="1"/>
  <c r="EQ15" i="5" s="1"/>
  <c r="N2" i="5" a="1"/>
  <c r="N2" i="5" s="1"/>
  <c r="O2" i="5" a="1"/>
  <c r="O2" i="5" s="1"/>
  <c r="O15" i="5"/>
  <c r="BC15" i="5" a="1"/>
  <c r="BC15" i="5" s="1"/>
  <c r="AT15" i="5" a="1"/>
  <c r="AT15" i="5" s="1"/>
  <c r="AZ15" i="5" s="1" a="1"/>
  <c r="AZ15" i="5" s="1"/>
  <c r="N15" i="5"/>
  <c r="DL15" i="5"/>
  <c r="Q15" i="5"/>
  <c r="P15" i="5"/>
  <c r="BB15" i="5"/>
  <c r="BI15" i="5" s="1"/>
  <c r="W15" i="5"/>
  <c r="Y15" i="5"/>
  <c r="X15" i="5"/>
  <c r="AE15" i="5"/>
  <c r="AD15" i="5"/>
  <c r="DN15" i="5"/>
  <c r="AG15" i="5"/>
  <c r="AF15" i="5"/>
  <c r="AM15" i="5"/>
  <c r="AL15" i="5"/>
  <c r="AO15" i="5"/>
  <c r="DO15" i="5"/>
  <c r="AN15" i="5"/>
  <c r="AQ15" i="5"/>
  <c r="FP15" i="5"/>
  <c r="FO15" i="5"/>
  <c r="EH15" i="5" a="1"/>
  <c r="EH15" i="5" s="1"/>
  <c r="EL15" i="5" s="1"/>
  <c r="EP15" i="5" s="1"/>
  <c r="EG15" i="5" a="1"/>
  <c r="EG15" i="5" s="1"/>
  <c r="EK15" i="5" s="1"/>
  <c r="EF15" i="5" a="1"/>
  <c r="EF15" i="5" s="1"/>
  <c r="EJ15" i="5" s="1"/>
  <c r="EI14" i="5" a="1"/>
  <c r="EI14" i="5" s="1"/>
  <c r="EM14" i="5" s="1"/>
  <c r="EQ14" i="5" s="1"/>
  <c r="O14" i="5"/>
  <c r="BC14" i="5" a="1"/>
  <c r="BC14" i="5" s="1"/>
  <c r="AT14" i="5" a="1"/>
  <c r="AT14" i="5" s="1"/>
  <c r="N14" i="5"/>
  <c r="DL14" i="5"/>
  <c r="Q14" i="5"/>
  <c r="P14" i="5"/>
  <c r="BB14" i="5"/>
  <c r="BM14" i="5" s="1"/>
  <c r="W14" i="5"/>
  <c r="V14" i="5"/>
  <c r="DM14" i="5"/>
  <c r="Y14" i="5"/>
  <c r="X14" i="5"/>
  <c r="AE14" i="5"/>
  <c r="AD14" i="5"/>
  <c r="DN14" i="5"/>
  <c r="AG14" i="5"/>
  <c r="AF14" i="5"/>
  <c r="AM14" i="5"/>
  <c r="AL14" i="5"/>
  <c r="DO14" i="5"/>
  <c r="AO14" i="5"/>
  <c r="FR14" i="5"/>
  <c r="EH14" i="5" a="1"/>
  <c r="EH14" i="5" s="1"/>
  <c r="EL14" i="5" s="1"/>
  <c r="EP14" i="5" s="1"/>
  <c r="EG14" i="5" a="1"/>
  <c r="EG14" i="5" s="1"/>
  <c r="EK14" i="5" s="1"/>
  <c r="EF14" i="5" a="1"/>
  <c r="EF14" i="5" s="1"/>
  <c r="EJ14" i="5" s="1"/>
  <c r="EI13" i="5" a="1"/>
  <c r="EI13" i="5" s="1"/>
  <c r="EM13" i="5" s="1"/>
  <c r="EQ13" i="5" s="1"/>
  <c r="O13" i="5"/>
  <c r="BC13" i="5" a="1"/>
  <c r="BC13" i="5" s="1"/>
  <c r="AT13" i="5" a="1"/>
  <c r="AT13" i="5" s="1"/>
  <c r="N13" i="5"/>
  <c r="DL13" i="5"/>
  <c r="Q13" i="5"/>
  <c r="BB13" i="5"/>
  <c r="BH13" i="5" s="1"/>
  <c r="P13" i="5"/>
  <c r="W13" i="5"/>
  <c r="Y13" i="5"/>
  <c r="X13" i="5"/>
  <c r="AE13" i="5"/>
  <c r="AD13" i="5"/>
  <c r="DN13" i="5"/>
  <c r="AG13" i="5"/>
  <c r="AF13" i="5"/>
  <c r="AM13" i="5"/>
  <c r="AL13" i="5"/>
  <c r="AO13" i="5"/>
  <c r="DO13" i="5"/>
  <c r="AN13" i="5"/>
  <c r="AQ13" i="5"/>
  <c r="FP13" i="5"/>
  <c r="FO13" i="5"/>
  <c r="EH13" i="5" a="1"/>
  <c r="EH13" i="5" s="1"/>
  <c r="EL13" i="5" s="1"/>
  <c r="EP13" i="5" s="1"/>
  <c r="EG13" i="5" a="1"/>
  <c r="EG13" i="5" s="1"/>
  <c r="EK13" i="5" s="1"/>
  <c r="EF13" i="5" a="1"/>
  <c r="EF13" i="5" s="1"/>
  <c r="EJ13" i="5" s="1"/>
  <c r="EI12" i="5" a="1"/>
  <c r="EI12" i="5" s="1"/>
  <c r="EM12" i="5" s="1"/>
  <c r="EQ12" i="5" s="1"/>
  <c r="O12" i="5"/>
  <c r="BC12" i="5" a="1"/>
  <c r="BC12" i="5" s="1"/>
  <c r="CF12" i="5" s="1"/>
  <c r="AT12" i="5" a="1"/>
  <c r="AT12" i="5" s="1"/>
  <c r="Q12" i="5"/>
  <c r="BB12" i="5"/>
  <c r="BG12" i="5" s="1" a="1"/>
  <c r="BG12" i="5" s="1"/>
  <c r="P12" i="5"/>
  <c r="S12" i="5"/>
  <c r="W12" i="5"/>
  <c r="V12" i="5"/>
  <c r="DM12" i="5"/>
  <c r="Y12" i="5"/>
  <c r="X12" i="5"/>
  <c r="AE12" i="5"/>
  <c r="AD12" i="5"/>
  <c r="DN12" i="5"/>
  <c r="AG12" i="5"/>
  <c r="AF12" i="5"/>
  <c r="AM12" i="5"/>
  <c r="AL12" i="5"/>
  <c r="AO12" i="5"/>
  <c r="DO12" i="5"/>
  <c r="AN12" i="5"/>
  <c r="AQ12" i="5"/>
  <c r="EH12" i="5" a="1"/>
  <c r="EH12" i="5" s="1"/>
  <c r="EL12" i="5" s="1"/>
  <c r="EP12" i="5" s="1"/>
  <c r="EG12" i="5" a="1"/>
  <c r="EG12" i="5" s="1"/>
  <c r="EK12" i="5" s="1"/>
  <c r="EF12" i="5" a="1"/>
  <c r="EF12" i="5" s="1"/>
  <c r="EJ12" i="5" s="1"/>
  <c r="EI11" i="5" a="1"/>
  <c r="EI11" i="5" s="1"/>
  <c r="EM11" i="5" s="1"/>
  <c r="EQ11" i="5" s="1"/>
  <c r="BC11" i="5" a="1"/>
  <c r="BC11" i="5" s="1"/>
  <c r="AT11" i="5" a="1"/>
  <c r="AT11" i="5" s="1"/>
  <c r="Q11" i="5"/>
  <c r="BB11" i="5"/>
  <c r="BI11" i="5" s="1"/>
  <c r="P11" i="5"/>
  <c r="W11" i="5"/>
  <c r="V11" i="5"/>
  <c r="DM11" i="5"/>
  <c r="Y11" i="5"/>
  <c r="X11" i="5"/>
  <c r="AE11" i="5"/>
  <c r="AD11" i="5"/>
  <c r="DN11" i="5"/>
  <c r="AG11" i="5"/>
  <c r="AF11" i="5"/>
  <c r="AM11" i="5"/>
  <c r="AL11" i="5"/>
  <c r="AO11" i="5"/>
  <c r="DO11" i="5"/>
  <c r="AN11" i="5"/>
  <c r="AQ11" i="5"/>
  <c r="FP11" i="5"/>
  <c r="EH11" i="5" a="1"/>
  <c r="EH11" i="5" s="1"/>
  <c r="EL11" i="5" s="1"/>
  <c r="EP11" i="5" s="1"/>
  <c r="EG11" i="5" a="1"/>
  <c r="EG11" i="5" s="1"/>
  <c r="EK11" i="5" s="1"/>
  <c r="EF11" i="5" a="1"/>
  <c r="EF11" i="5" s="1"/>
  <c r="EJ11" i="5" s="1"/>
  <c r="EI10" i="5" a="1"/>
  <c r="EI10" i="5" s="1"/>
  <c r="EM10" i="5" s="1"/>
  <c r="EQ10" i="5" s="1"/>
  <c r="O10" i="5"/>
  <c r="BC10" i="5" a="1"/>
  <c r="BC10" i="5" s="1"/>
  <c r="AT10" i="5" a="1"/>
  <c r="AT10" i="5" s="1"/>
  <c r="Q10" i="5"/>
  <c r="P10" i="5"/>
  <c r="BB10" i="5"/>
  <c r="BI10" i="5" s="1"/>
  <c r="W10" i="5"/>
  <c r="V10" i="5"/>
  <c r="Y10" i="5"/>
  <c r="DM10" i="5"/>
  <c r="X10" i="5"/>
  <c r="AE10" i="5"/>
  <c r="AD10" i="5"/>
  <c r="DN10" i="5"/>
  <c r="AG10" i="5"/>
  <c r="AF10" i="5"/>
  <c r="AM10" i="5"/>
  <c r="AL10" i="5"/>
  <c r="DO10" i="5"/>
  <c r="AO10" i="5"/>
  <c r="AN10" i="5"/>
  <c r="FR10" i="5"/>
  <c r="EH10" i="5" a="1"/>
  <c r="EH10" i="5" s="1"/>
  <c r="EL10" i="5" s="1"/>
  <c r="EP10" i="5" s="1"/>
  <c r="EG10" i="5" a="1"/>
  <c r="EG10" i="5" s="1"/>
  <c r="EK10" i="5" s="1"/>
  <c r="EF10" i="5" a="1"/>
  <c r="EF10" i="5" s="1"/>
  <c r="EJ10" i="5" s="1"/>
  <c r="EA13" i="5" a="1"/>
  <c r="EA13" i="5" s="1"/>
  <c r="DY13" i="5" a="1"/>
  <c r="DY13" i="5" s="1"/>
  <c r="DX13" i="5" a="1"/>
  <c r="DX13" i="5" s="1"/>
  <c r="DZ12" i="5" a="1"/>
  <c r="DZ12" i="5" s="1"/>
  <c r="DZ10" i="5" a="1"/>
  <c r="DZ10" i="5" s="1"/>
  <c r="DY10" i="5" a="1"/>
  <c r="DY10" i="5" s="1"/>
  <c r="DJ10" i="5"/>
  <c r="DJ11" i="5"/>
  <c r="DJ12" i="5"/>
  <c r="DJ13" i="5"/>
  <c r="DJ14" i="5"/>
  <c r="DJ15" i="5"/>
  <c r="DS15" i="5" a="1"/>
  <c r="DS15" i="5" s="1"/>
  <c r="DR15" i="5" a="1"/>
  <c r="DR15" i="5" s="1"/>
  <c r="DQ15" i="5" a="1"/>
  <c r="DQ15" i="5" s="1"/>
  <c r="DP15" i="5" a="1"/>
  <c r="DP15" i="5" s="1"/>
  <c r="DS14" i="5" a="1"/>
  <c r="DS14" i="5" s="1"/>
  <c r="DR14" i="5" a="1"/>
  <c r="DR14" i="5" s="1"/>
  <c r="DQ14" i="5" a="1"/>
  <c r="DQ14" i="5" s="1"/>
  <c r="DP14" i="5" a="1"/>
  <c r="DP14" i="5" s="1"/>
  <c r="DS13" i="5" a="1"/>
  <c r="DS13" i="5" s="1"/>
  <c r="DR13" i="5" a="1"/>
  <c r="DR13" i="5" s="1"/>
  <c r="DQ13" i="5" a="1"/>
  <c r="DQ13" i="5" s="1"/>
  <c r="DP13" i="5" a="1"/>
  <c r="DP13" i="5" s="1"/>
  <c r="DS12" i="5" a="1"/>
  <c r="DS12" i="5" s="1"/>
  <c r="DR12" i="5" a="1"/>
  <c r="DR12" i="5" s="1"/>
  <c r="DQ12" i="5" a="1"/>
  <c r="DQ12" i="5" s="1"/>
  <c r="DP12" i="5" a="1"/>
  <c r="DP12" i="5" s="1"/>
  <c r="DS11" i="5" a="1"/>
  <c r="DS11" i="5" s="1"/>
  <c r="DR11" i="5" a="1"/>
  <c r="DR11" i="5" s="1"/>
  <c r="DQ11" i="5" a="1"/>
  <c r="DQ11" i="5" s="1"/>
  <c r="DP11" i="5" a="1"/>
  <c r="DP11" i="5" s="1"/>
  <c r="DS10" i="5" a="1"/>
  <c r="DS10" i="5" s="1"/>
  <c r="DR10" i="5" a="1"/>
  <c r="DR10" i="5" s="1"/>
  <c r="DQ10" i="5" a="1"/>
  <c r="DQ10" i="5" s="1"/>
  <c r="DP10" i="5" a="1"/>
  <c r="DP10" i="5" s="1"/>
  <c r="EA15" i="5" a="1"/>
  <c r="EA15" i="5" s="1"/>
  <c r="AG2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1" i="4"/>
  <c r="AG22" i="4"/>
  <c r="AG23" i="4"/>
  <c r="AG24" i="4"/>
  <c r="AG25" i="4"/>
  <c r="AG26" i="4"/>
  <c r="AG27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6" i="4"/>
  <c r="AG47" i="4"/>
  <c r="AG48" i="4"/>
  <c r="AG49" i="4"/>
  <c r="AG51" i="4"/>
  <c r="AG52" i="4"/>
  <c r="AG53" i="4"/>
  <c r="AG54" i="4"/>
  <c r="AG56" i="4"/>
  <c r="AG57" i="4"/>
  <c r="AG58" i="4"/>
  <c r="AG59" i="4"/>
  <c r="AG60" i="4"/>
  <c r="AG61" i="4"/>
  <c r="AG62" i="4"/>
  <c r="AG63" i="4"/>
  <c r="AG64" i="4"/>
  <c r="AG65" i="4"/>
  <c r="AG66" i="4"/>
  <c r="AG68" i="4"/>
  <c r="AG69" i="4"/>
  <c r="AG70" i="4"/>
  <c r="AG71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F2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1" i="4"/>
  <c r="AF22" i="4"/>
  <c r="AF23" i="4"/>
  <c r="AF24" i="4"/>
  <c r="AF25" i="4"/>
  <c r="AF26" i="4"/>
  <c r="AF27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6" i="4"/>
  <c r="AF47" i="4"/>
  <c r="AF48" i="4"/>
  <c r="AF49" i="4"/>
  <c r="AF51" i="4"/>
  <c r="AF52" i="4"/>
  <c r="AF53" i="4"/>
  <c r="AF54" i="4"/>
  <c r="AF56" i="4"/>
  <c r="AF57" i="4"/>
  <c r="AF58" i="4"/>
  <c r="AF59" i="4"/>
  <c r="AF60" i="4"/>
  <c r="AF61" i="4"/>
  <c r="AF62" i="4"/>
  <c r="AF63" i="4"/>
  <c r="AF64" i="4"/>
  <c r="AF65" i="4"/>
  <c r="AF66" i="4"/>
  <c r="AF68" i="4"/>
  <c r="AF69" i="4"/>
  <c r="AF70" i="4"/>
  <c r="AF71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BQ15" i="5" s="1" a="1"/>
  <c r="BQ15" i="5" s="1"/>
  <c r="BU15" i="5" s="1"/>
  <c r="BY15" i="5" s="1"/>
  <c r="AF110" i="4"/>
  <c r="AF111" i="4"/>
  <c r="AF112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DZ15" i="5" a="1"/>
  <c r="DZ15" i="5" s="1"/>
  <c r="AB2" i="4"/>
  <c r="AB3" i="4"/>
  <c r="AB4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1" i="4"/>
  <c r="AB22" i="4"/>
  <c r="AB23" i="4"/>
  <c r="AB24" i="4"/>
  <c r="AB26" i="4"/>
  <c r="AB27" i="4"/>
  <c r="AB29" i="4"/>
  <c r="AB30" i="4"/>
  <c r="AB31" i="4"/>
  <c r="AB32" i="4"/>
  <c r="AB34" i="4"/>
  <c r="AB35" i="4"/>
  <c r="AB36" i="4"/>
  <c r="AB37" i="4"/>
  <c r="AB38" i="4"/>
  <c r="AB39" i="4"/>
  <c r="AB40" i="4"/>
  <c r="AB41" i="4"/>
  <c r="AB42" i="4"/>
  <c r="AB43" i="4"/>
  <c r="AB44" i="4"/>
  <c r="AB46" i="4"/>
  <c r="AB47" i="4"/>
  <c r="AB48" i="4"/>
  <c r="AB49" i="4"/>
  <c r="AB51" i="4"/>
  <c r="AB52" i="4"/>
  <c r="AB53" i="4"/>
  <c r="AB54" i="4"/>
  <c r="AB56" i="4"/>
  <c r="AB57" i="4"/>
  <c r="AB58" i="4"/>
  <c r="AB59" i="4"/>
  <c r="AB60" i="4"/>
  <c r="AB61" i="4"/>
  <c r="AB62" i="4"/>
  <c r="AB63" i="4"/>
  <c r="AB64" i="4"/>
  <c r="AB65" i="4"/>
  <c r="AB66" i="4"/>
  <c r="AB68" i="4"/>
  <c r="AB69" i="4"/>
  <c r="AB70" i="4"/>
  <c r="AB71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A2" i="4"/>
  <c r="AA3" i="4"/>
  <c r="AA4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1" i="4"/>
  <c r="AA22" i="4"/>
  <c r="AA23" i="4"/>
  <c r="AA24" i="4"/>
  <c r="AA26" i="4"/>
  <c r="AA27" i="4"/>
  <c r="AA29" i="4"/>
  <c r="AA30" i="4"/>
  <c r="AA31" i="4"/>
  <c r="AA32" i="4"/>
  <c r="AA34" i="4"/>
  <c r="AA35" i="4"/>
  <c r="AA36" i="4"/>
  <c r="AA37" i="4"/>
  <c r="AA38" i="4"/>
  <c r="AA39" i="4"/>
  <c r="AA40" i="4"/>
  <c r="AA41" i="4"/>
  <c r="AA42" i="4"/>
  <c r="AA43" i="4"/>
  <c r="AA44" i="4"/>
  <c r="AA46" i="4"/>
  <c r="AA47" i="4"/>
  <c r="AA48" i="4"/>
  <c r="AA49" i="4"/>
  <c r="AA51" i="4"/>
  <c r="AA52" i="4"/>
  <c r="AA53" i="4"/>
  <c r="AA54" i="4"/>
  <c r="AA56" i="4"/>
  <c r="AA57" i="4"/>
  <c r="AA58" i="4"/>
  <c r="AA59" i="4"/>
  <c r="AA60" i="4"/>
  <c r="AA61" i="4"/>
  <c r="AA62" i="4"/>
  <c r="AA63" i="4"/>
  <c r="AA64" i="4"/>
  <c r="AA65" i="4"/>
  <c r="AA66" i="4"/>
  <c r="AA68" i="4"/>
  <c r="AA69" i="4"/>
  <c r="AA70" i="4"/>
  <c r="AA71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DY12" i="5" a="1"/>
  <c r="DY12" i="5" s="1"/>
  <c r="W2" i="4"/>
  <c r="W3" i="4"/>
  <c r="W4" i="4"/>
  <c r="W6" i="4"/>
  <c r="W7" i="4"/>
  <c r="W8" i="4"/>
  <c r="W10" i="4"/>
  <c r="W11" i="4"/>
  <c r="W12" i="4"/>
  <c r="W13" i="4"/>
  <c r="W15" i="4"/>
  <c r="W16" i="4"/>
  <c r="W17" i="4"/>
  <c r="W18" i="4"/>
  <c r="W19" i="4"/>
  <c r="W21" i="4"/>
  <c r="W22" i="4"/>
  <c r="W23" i="4"/>
  <c r="W24" i="4"/>
  <c r="W26" i="4"/>
  <c r="W27" i="4"/>
  <c r="W29" i="4"/>
  <c r="W30" i="4"/>
  <c r="W31" i="4"/>
  <c r="W32" i="4"/>
  <c r="W34" i="4"/>
  <c r="W35" i="4"/>
  <c r="W36" i="4"/>
  <c r="W37" i="4"/>
  <c r="W38" i="4"/>
  <c r="W39" i="4"/>
  <c r="W40" i="4"/>
  <c r="W41" i="4"/>
  <c r="W42" i="4"/>
  <c r="W43" i="4"/>
  <c r="W44" i="4"/>
  <c r="W46" i="4"/>
  <c r="W47" i="4"/>
  <c r="W48" i="4"/>
  <c r="W49" i="4"/>
  <c r="W51" i="4"/>
  <c r="W52" i="4"/>
  <c r="W53" i="4"/>
  <c r="W54" i="4"/>
  <c r="W56" i="4"/>
  <c r="W57" i="4"/>
  <c r="W58" i="4"/>
  <c r="W59" i="4"/>
  <c r="W60" i="4"/>
  <c r="W61" i="4"/>
  <c r="W62" i="4"/>
  <c r="W63" i="4"/>
  <c r="W64" i="4"/>
  <c r="W65" i="4"/>
  <c r="W66" i="4"/>
  <c r="W68" i="4"/>
  <c r="W69" i="4"/>
  <c r="W70" i="4"/>
  <c r="W71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V2" i="4"/>
  <c r="V3" i="4"/>
  <c r="V4" i="4"/>
  <c r="V6" i="4"/>
  <c r="V7" i="4"/>
  <c r="V8" i="4"/>
  <c r="V10" i="4"/>
  <c r="V11" i="4"/>
  <c r="V12" i="4"/>
  <c r="V13" i="4"/>
  <c r="V15" i="4"/>
  <c r="V16" i="4"/>
  <c r="V17" i="4"/>
  <c r="V18" i="4"/>
  <c r="V19" i="4"/>
  <c r="V21" i="4"/>
  <c r="V22" i="4"/>
  <c r="V23" i="4"/>
  <c r="V24" i="4"/>
  <c r="V26" i="4"/>
  <c r="V27" i="4"/>
  <c r="V29" i="4"/>
  <c r="V30" i="4"/>
  <c r="V31" i="4"/>
  <c r="V32" i="4"/>
  <c r="V34" i="4"/>
  <c r="V35" i="4"/>
  <c r="V36" i="4"/>
  <c r="V37" i="4"/>
  <c r="V38" i="4"/>
  <c r="V39" i="4"/>
  <c r="V40" i="4"/>
  <c r="V41" i="4"/>
  <c r="V42" i="4"/>
  <c r="V43" i="4"/>
  <c r="V44" i="4"/>
  <c r="V46" i="4"/>
  <c r="V47" i="4"/>
  <c r="V48" i="4"/>
  <c r="V49" i="4"/>
  <c r="V51" i="4"/>
  <c r="V52" i="4"/>
  <c r="V53" i="4"/>
  <c r="V54" i="4"/>
  <c r="V56" i="4"/>
  <c r="V57" i="4"/>
  <c r="V58" i="4"/>
  <c r="V59" i="4"/>
  <c r="V60" i="4"/>
  <c r="V61" i="4"/>
  <c r="V62" i="4"/>
  <c r="V63" i="4"/>
  <c r="V64" i="4"/>
  <c r="V65" i="4"/>
  <c r="V66" i="4"/>
  <c r="V68" i="4"/>
  <c r="V69" i="4"/>
  <c r="V70" i="4"/>
  <c r="V71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BO10" i="5" s="1" a="1"/>
  <c r="BO10" i="5" s="1"/>
  <c r="BS10" i="5" s="1"/>
  <c r="BW10" i="5" s="1"/>
  <c r="V110" i="4"/>
  <c r="V111" i="4"/>
  <c r="V112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DX12" i="5" a="1"/>
  <c r="DX12" i="5" s="1"/>
  <c r="R2" i="4"/>
  <c r="R3" i="4"/>
  <c r="R4" i="4"/>
  <c r="R6" i="4"/>
  <c r="R7" i="4"/>
  <c r="R8" i="4"/>
  <c r="R10" i="4"/>
  <c r="R11" i="4"/>
  <c r="R12" i="4"/>
  <c r="R13" i="4"/>
  <c r="R15" i="4"/>
  <c r="R16" i="4"/>
  <c r="R17" i="4"/>
  <c r="R18" i="4"/>
  <c r="R19" i="4"/>
  <c r="R21" i="4"/>
  <c r="R22" i="4"/>
  <c r="R23" i="4"/>
  <c r="R24" i="4"/>
  <c r="R26" i="4"/>
  <c r="R27" i="4"/>
  <c r="R29" i="4"/>
  <c r="R30" i="4"/>
  <c r="R31" i="4"/>
  <c r="R32" i="4"/>
  <c r="R34" i="4"/>
  <c r="R35" i="4"/>
  <c r="R36" i="4"/>
  <c r="R38" i="4"/>
  <c r="R39" i="4"/>
  <c r="R40" i="4"/>
  <c r="R41" i="4"/>
  <c r="R42" i="4"/>
  <c r="R43" i="4"/>
  <c r="R44" i="4"/>
  <c r="R46" i="4"/>
  <c r="R47" i="4"/>
  <c r="R48" i="4"/>
  <c r="R49" i="4"/>
  <c r="R51" i="4"/>
  <c r="R52" i="4"/>
  <c r="R53" i="4"/>
  <c r="R54" i="4"/>
  <c r="R56" i="4"/>
  <c r="R57" i="4"/>
  <c r="R58" i="4"/>
  <c r="R59" i="4"/>
  <c r="R60" i="4"/>
  <c r="R61" i="4"/>
  <c r="R62" i="4"/>
  <c r="R63" i="4"/>
  <c r="R64" i="4"/>
  <c r="R65" i="4"/>
  <c r="R66" i="4"/>
  <c r="R68" i="4"/>
  <c r="R69" i="4"/>
  <c r="R70" i="4"/>
  <c r="R71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Q2" i="4"/>
  <c r="Q3" i="4"/>
  <c r="Q4" i="4"/>
  <c r="Q6" i="4"/>
  <c r="Q7" i="4"/>
  <c r="Q8" i="4"/>
  <c r="Q10" i="4"/>
  <c r="Q11" i="4"/>
  <c r="Q12" i="4"/>
  <c r="Q13" i="4"/>
  <c r="Q15" i="4"/>
  <c r="Q16" i="4"/>
  <c r="Q17" i="4"/>
  <c r="Q18" i="4"/>
  <c r="Q19" i="4"/>
  <c r="Q21" i="4"/>
  <c r="Q22" i="4"/>
  <c r="Q23" i="4"/>
  <c r="Q24" i="4"/>
  <c r="Q26" i="4"/>
  <c r="Q27" i="4"/>
  <c r="Q29" i="4"/>
  <c r="Q30" i="4"/>
  <c r="Q31" i="4"/>
  <c r="Q32" i="4"/>
  <c r="Q34" i="4"/>
  <c r="Q35" i="4"/>
  <c r="Q36" i="4"/>
  <c r="Q38" i="4"/>
  <c r="Q39" i="4"/>
  <c r="Q40" i="4"/>
  <c r="Q41" i="4"/>
  <c r="Q42" i="4"/>
  <c r="Q43" i="4"/>
  <c r="Q44" i="4"/>
  <c r="Q46" i="4"/>
  <c r="Q47" i="4"/>
  <c r="Q48" i="4"/>
  <c r="Q49" i="4"/>
  <c r="Q51" i="4"/>
  <c r="Q52" i="4"/>
  <c r="Q53" i="4"/>
  <c r="Q54" i="4"/>
  <c r="Q56" i="4"/>
  <c r="Q57" i="4"/>
  <c r="Q58" i="4"/>
  <c r="Q59" i="4"/>
  <c r="Q60" i="4"/>
  <c r="Q61" i="4"/>
  <c r="Q62" i="4"/>
  <c r="Q63" i="4"/>
  <c r="Q64" i="4"/>
  <c r="Q65" i="4"/>
  <c r="Q66" i="4"/>
  <c r="Q68" i="4"/>
  <c r="Q69" i="4"/>
  <c r="Q70" i="4"/>
  <c r="Q71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BN10" i="5" s="1" a="1"/>
  <c r="BN10" i="5" s="1"/>
  <c r="BR10" i="5" s="1"/>
  <c r="Q110" i="4"/>
  <c r="Q111" i="4"/>
  <c r="Q112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DI10" i="5"/>
  <c r="DI11" i="5"/>
  <c r="DI12" i="5"/>
  <c r="DI13" i="5"/>
  <c r="DI14" i="5"/>
  <c r="DI15" i="5"/>
  <c r="DG10" i="5" a="1"/>
  <c r="DG10" i="5" s="1"/>
  <c r="DG11" i="5" a="1"/>
  <c r="DG11" i="5" s="1"/>
  <c r="DG12" i="5" a="1"/>
  <c r="DG12" i="5" s="1"/>
  <c r="DG13" i="5" a="1"/>
  <c r="DG13" i="5" s="1"/>
  <c r="DG14" i="5" a="1"/>
  <c r="DG14" i="5" s="1"/>
  <c r="DG15" i="5" a="1"/>
  <c r="DG15" i="5" s="1"/>
  <c r="CY10" i="5" a="1"/>
  <c r="CY10" i="5" s="1"/>
  <c r="C4" i="5" a="1"/>
  <c r="C4" i="5" s="1"/>
  <c r="C1" i="6" a="1"/>
  <c r="C1" i="6" s="1"/>
  <c r="D1" i="6" a="1"/>
  <c r="D1" i="6" s="1"/>
  <c r="DX10" i="5" a="1"/>
  <c r="DX10" i="5" s="1"/>
  <c r="EA12" i="5" a="1"/>
  <c r="EA12" i="5" s="1"/>
  <c r="EA10" i="5" a="1"/>
  <c r="EA10" i="5" s="1"/>
  <c r="DZ13" i="5" a="1"/>
  <c r="DZ13" i="5" s="1"/>
  <c r="DX11" i="5" a="1"/>
  <c r="DX11" i="5" s="1"/>
  <c r="DX14" i="5" a="1"/>
  <c r="DX14" i="5" s="1"/>
  <c r="DY11" i="5" a="1"/>
  <c r="DY11" i="5" s="1"/>
  <c r="DY14" i="5" a="1"/>
  <c r="DY14" i="5" s="1"/>
  <c r="CY11" i="5" a="1"/>
  <c r="CY11" i="5" s="1"/>
  <c r="DZ11" i="5" a="1"/>
  <c r="DZ11" i="5" s="1"/>
  <c r="DZ14" i="5" a="1"/>
  <c r="DZ14" i="5" s="1"/>
  <c r="EA14" i="5" a="1"/>
  <c r="EA14" i="5" s="1"/>
  <c r="EA11" i="5" a="1"/>
  <c r="EA11" i="5" s="1"/>
  <c r="DX15" i="5" a="1"/>
  <c r="DX15" i="5" s="1"/>
  <c r="DY15" i="5" a="1"/>
  <c r="DY15" i="5" s="1"/>
  <c r="CY15" i="5" a="1"/>
  <c r="CY15" i="5" s="1"/>
  <c r="CY14" i="5" a="1"/>
  <c r="CY14" i="5" s="1"/>
  <c r="CY12" i="5" a="1"/>
  <c r="CY12" i="5" s="1"/>
  <c r="CY13" i="5" a="1"/>
  <c r="CY13" i="5" s="1"/>
  <c r="FQ14" i="5"/>
  <c r="FP14" i="5"/>
  <c r="FT12" i="5"/>
  <c r="FT10" i="5"/>
  <c r="FT15" i="5"/>
  <c r="FT14" i="5"/>
  <c r="FT13" i="5"/>
  <c r="FO14" i="5"/>
  <c r="FT11" i="5"/>
  <c r="EU10" i="5"/>
  <c r="EW10" i="5"/>
  <c r="EV10" i="5"/>
  <c r="EU11" i="5"/>
  <c r="EW11" i="5"/>
  <c r="EU12" i="5"/>
  <c r="EW12" i="5"/>
  <c r="EX10" i="5"/>
  <c r="EV11" i="5"/>
  <c r="EV12" i="5"/>
  <c r="BQ12" i="5" a="1"/>
  <c r="BQ12" i="5" s="1"/>
  <c r="BU12" i="5" s="1"/>
  <c r="BY12" i="5" s="1"/>
  <c r="BQ14" i="5" a="1"/>
  <c r="BQ14" i="5" s="1"/>
  <c r="BU14" i="5" s="1"/>
  <c r="BY14" i="5" s="1"/>
  <c r="EX15" i="5"/>
  <c r="EZ15" i="5"/>
  <c r="EY13" i="5"/>
  <c r="EY15" i="5"/>
  <c r="EX13" i="5"/>
  <c r="EZ13" i="5"/>
  <c r="BN15" i="5" a="1"/>
  <c r="BN15" i="5" s="1"/>
  <c r="BR15" i="5" s="1"/>
  <c r="BQ13" i="5" a="1"/>
  <c r="BQ13" i="5" s="1"/>
  <c r="BU13" i="5" s="1"/>
  <c r="BY13" i="5" s="1"/>
  <c r="FB10" i="5"/>
  <c r="FA10" i="5"/>
  <c r="FC10" i="5"/>
  <c r="FQ11" i="5"/>
  <c r="FQ15" i="5"/>
  <c r="FQ13" i="5"/>
  <c r="FA11" i="5"/>
  <c r="FC11" i="5"/>
  <c r="FB14" i="5"/>
  <c r="FE10" i="5"/>
  <c r="FD10" i="5"/>
  <c r="FA14" i="5"/>
  <c r="FC14" i="5"/>
  <c r="FL11" i="5"/>
  <c r="EY14" i="5"/>
  <c r="EX14" i="5"/>
  <c r="EZ14" i="5"/>
  <c r="FB11" i="5"/>
  <c r="FE14" i="5"/>
  <c r="FK12" i="5"/>
  <c r="FD14" i="5"/>
  <c r="FF14" i="5"/>
  <c r="FK11" i="5"/>
  <c r="FK10" i="5"/>
  <c r="FL14" i="5"/>
  <c r="FK14" i="5"/>
  <c r="FM14" i="5" a="1"/>
  <c r="FM14" i="5" s="1"/>
  <c r="FL13" i="5"/>
  <c r="FK13" i="5"/>
  <c r="FL10" i="5"/>
  <c r="FL12" i="5"/>
  <c r="FK15" i="5"/>
  <c r="FL15" i="5"/>
  <c r="FM15" i="5" a="1"/>
  <c r="FM15" i="5" s="1"/>
  <c r="FQ10" i="5"/>
  <c r="FB15" i="5"/>
  <c r="FA15" i="5"/>
  <c r="FC15" i="5"/>
  <c r="FB13" i="5"/>
  <c r="FA13" i="5"/>
  <c r="FC13" i="5"/>
  <c r="FB12" i="5"/>
  <c r="FA12" i="5"/>
  <c r="FC12" i="5"/>
  <c r="EY10" i="5"/>
  <c r="EU14" i="5"/>
  <c r="EW14" i="5"/>
  <c r="EV14" i="5"/>
  <c r="EU15" i="5"/>
  <c r="EW15" i="5"/>
  <c r="EV15" i="5"/>
  <c r="EU13" i="5"/>
  <c r="EW13" i="5"/>
  <c r="EV13" i="5"/>
  <c r="EX12" i="5"/>
  <c r="EZ12" i="5"/>
  <c r="EY12" i="5"/>
  <c r="EX11" i="5"/>
  <c r="EZ11" i="5"/>
  <c r="EY11" i="5"/>
  <c r="FE12" i="5"/>
  <c r="FD12" i="5"/>
  <c r="FE11" i="5"/>
  <c r="FD11" i="5"/>
  <c r="FE13" i="5"/>
  <c r="FD13" i="5"/>
  <c r="FD15" i="5"/>
  <c r="FE15" i="5"/>
  <c r="FG10" i="5" a="1"/>
  <c r="FG10" i="5"/>
  <c r="FM12" i="5" a="1"/>
  <c r="FM12" i="5" s="1"/>
  <c r="FM10" i="5" a="1"/>
  <c r="FM10" i="5" s="1"/>
  <c r="FG14" i="5" a="1"/>
  <c r="FG14" i="5"/>
  <c r="FH14" i="5" a="1"/>
  <c r="FH14" i="5" s="1"/>
  <c r="FM13" i="5" a="1"/>
  <c r="FM13" i="5" s="1"/>
  <c r="FF13" i="5"/>
  <c r="FG13" i="5" a="1"/>
  <c r="FG13" i="5"/>
  <c r="FF15" i="5"/>
  <c r="FG15" i="5" a="1"/>
  <c r="FG15" i="5"/>
  <c r="FF11" i="5"/>
  <c r="FG11" i="5" a="1"/>
  <c r="FG11" i="5"/>
  <c r="FF12" i="5"/>
  <c r="FG12" i="5" a="1"/>
  <c r="FG12" i="5"/>
  <c r="FI14" i="5"/>
  <c r="FI11" i="5"/>
  <c r="FH11" i="5" a="1"/>
  <c r="FH11" i="5" s="1"/>
  <c r="FH13" i="5" a="1"/>
  <c r="FH13" i="5" s="1"/>
  <c r="FI13" i="5"/>
  <c r="FH15" i="5" a="1"/>
  <c r="FH15" i="5" s="1"/>
  <c r="FI15" i="5"/>
  <c r="FH12" i="5" a="1"/>
  <c r="FH12" i="5" s="1"/>
  <c r="FI12" i="5"/>
  <c r="FF10" i="5"/>
  <c r="BJ14" i="5" l="1"/>
  <c r="BJ15" i="5"/>
  <c r="BM15" i="5"/>
  <c r="BH15" i="5"/>
  <c r="AI15" i="5" s="1"/>
  <c r="BI13" i="5"/>
  <c r="BH10" i="5"/>
  <c r="AA10" i="5" s="1"/>
  <c r="BK15" i="5"/>
  <c r="BE12" i="5" a="1"/>
  <c r="BE12" i="5" s="1"/>
  <c r="BJ10" i="5"/>
  <c r="BE15" i="5" a="1"/>
  <c r="BE15" i="5" s="1"/>
  <c r="BK11" i="5"/>
  <c r="BL15" i="5"/>
  <c r="BK10" i="5"/>
  <c r="BE11" i="5" a="1"/>
  <c r="BE11" i="5" s="1"/>
  <c r="BM10" i="5"/>
  <c r="BM11" i="5"/>
  <c r="BL13" i="5"/>
  <c r="BK14" i="5"/>
  <c r="BL10" i="5"/>
  <c r="BG11" i="5" a="1"/>
  <c r="BG11" i="5" s="1"/>
  <c r="S13" i="5"/>
  <c r="AA13" i="5"/>
  <c r="AI13" i="5"/>
  <c r="BK12" i="5"/>
  <c r="BL14" i="5"/>
  <c r="BH14" i="5"/>
  <c r="BM12" i="5"/>
  <c r="BH12" i="5"/>
  <c r="BJ11" i="5"/>
  <c r="BD11" i="5" a="1"/>
  <c r="BD11" i="5" s="1"/>
  <c r="BL11" i="5"/>
  <c r="BH11" i="5"/>
  <c r="BK13" i="5"/>
  <c r="BM13" i="5"/>
  <c r="BJ12" i="5"/>
  <c r="BG14" i="5" a="1"/>
  <c r="BG14" i="5" s="1"/>
  <c r="CC14" i="5" s="1"/>
  <c r="BL12" i="5"/>
  <c r="BG13" i="5" a="1"/>
  <c r="BG13" i="5" s="1"/>
  <c r="CC13" i="5" s="1"/>
  <c r="BI14" i="5"/>
  <c r="BF13" i="5" a="1"/>
  <c r="BF13" i="5" s="1"/>
  <c r="BJ13" i="5"/>
  <c r="BI12" i="5"/>
  <c r="BG10" i="5" a="1"/>
  <c r="BG10" i="5" s="1"/>
  <c r="BQ10" i="5" a="1"/>
  <c r="BQ10" i="5" s="1"/>
  <c r="BU10" i="5" s="1"/>
  <c r="BY10" i="5" s="1"/>
  <c r="BP12" i="5" a="1"/>
  <c r="BP12" i="5" s="1"/>
  <c r="BT12" i="5" s="1"/>
  <c r="BX12" i="5" s="1"/>
  <c r="BN11" i="5" a="1"/>
  <c r="BN11" i="5" s="1"/>
  <c r="BR11" i="5" s="1"/>
  <c r="BV11" i="5" s="1"/>
  <c r="BP11" i="5" a="1"/>
  <c r="BP11" i="5" s="1"/>
  <c r="BT11" i="5" s="1"/>
  <c r="BX11" i="5" s="1"/>
  <c r="BP13" i="5" a="1"/>
  <c r="BP13" i="5" s="1"/>
  <c r="BT13" i="5" s="1"/>
  <c r="BX13" i="5" s="1"/>
  <c r="BP15" i="5" a="1"/>
  <c r="BP15" i="5" s="1"/>
  <c r="BT15" i="5" s="1"/>
  <c r="BX15" i="5" s="1"/>
  <c r="BF14" i="5" a="1"/>
  <c r="BF14" i="5" s="1"/>
  <c r="BF10" i="5" a="1"/>
  <c r="BF10" i="5" s="1"/>
  <c r="BG15" i="5" a="1"/>
  <c r="BG15" i="5" s="1"/>
  <c r="CC15" i="5" s="1"/>
  <c r="BD12" i="5" a="1"/>
  <c r="BD12" i="5" s="1"/>
  <c r="BP10" i="5" a="1"/>
  <c r="BP10" i="5" s="1"/>
  <c r="BT10" i="5" s="1"/>
  <c r="BX10" i="5" s="1"/>
  <c r="BF12" i="5" a="1"/>
  <c r="BF12" i="5" s="1"/>
  <c r="BF15" i="5" a="1"/>
  <c r="BF15" i="5" s="1"/>
  <c r="BF11" i="5" a="1"/>
  <c r="BF11" i="5" s="1"/>
  <c r="BP14" i="5" a="1"/>
  <c r="BP14" i="5" s="1"/>
  <c r="BT14" i="5" s="1"/>
  <c r="BX14" i="5" s="1"/>
  <c r="BD13" i="5" a="1"/>
  <c r="BD13" i="5" s="1"/>
  <c r="BE13" i="5" a="1"/>
  <c r="BE13" i="5" s="1"/>
  <c r="BD15" i="5" a="1"/>
  <c r="BD15" i="5" s="1"/>
  <c r="BD14" i="5" a="1"/>
  <c r="BD14" i="5" s="1"/>
  <c r="BO11" i="5" a="1"/>
  <c r="BO11" i="5" s="1"/>
  <c r="BS11" i="5" s="1"/>
  <c r="BW11" i="5" s="1"/>
  <c r="BN12" i="5" a="1"/>
  <c r="BN12" i="5" s="1"/>
  <c r="BR12" i="5" s="1"/>
  <c r="BV12" i="5" s="1"/>
  <c r="BN13" i="5" a="1"/>
  <c r="BN13" i="5" s="1"/>
  <c r="BR13" i="5" s="1"/>
  <c r="BV13" i="5" s="1"/>
  <c r="BO14" i="5" a="1"/>
  <c r="BO14" i="5" s="1"/>
  <c r="BS14" i="5" s="1"/>
  <c r="BW14" i="5" s="1"/>
  <c r="BE14" i="5" a="1"/>
  <c r="BE14" i="5" s="1"/>
  <c r="BO13" i="5" a="1"/>
  <c r="BO13" i="5" s="1"/>
  <c r="BS13" i="5" s="1"/>
  <c r="BW13" i="5" s="1"/>
  <c r="BN14" i="5" a="1"/>
  <c r="BN14" i="5" s="1"/>
  <c r="BR14" i="5" s="1"/>
  <c r="BV14" i="5" s="1"/>
  <c r="BD10" i="5" a="1"/>
  <c r="BD10" i="5" s="1"/>
  <c r="BQ11" i="5" a="1"/>
  <c r="BQ11" i="5" s="1"/>
  <c r="BU11" i="5" s="1"/>
  <c r="BY11" i="5" s="1"/>
  <c r="BO12" i="5" a="1"/>
  <c r="BO12" i="5" s="1"/>
  <c r="BS12" i="5" s="1"/>
  <c r="BW12" i="5" s="1"/>
  <c r="BE10" i="5" a="1"/>
  <c r="BE10" i="5" s="1"/>
  <c r="CA10" i="5" s="1"/>
  <c r="BO15" i="5" a="1"/>
  <c r="BO15" i="5" s="1"/>
  <c r="BS15" i="5" s="1"/>
  <c r="BW15" i="5" s="1"/>
  <c r="EB10" i="5"/>
  <c r="EB12" i="5"/>
  <c r="EB14" i="5"/>
  <c r="EB13" i="5"/>
  <c r="EB11" i="5"/>
  <c r="EB15" i="5"/>
  <c r="R12" i="5"/>
  <c r="T12" i="5" s="1"/>
  <c r="CD14" i="5"/>
  <c r="CG14" i="5"/>
  <c r="CE14" i="5"/>
  <c r="CC12" i="5"/>
  <c r="CF10" i="5"/>
  <c r="CE10" i="5"/>
  <c r="CD10" i="5"/>
  <c r="CG10" i="5"/>
  <c r="AY15" i="5" a="1"/>
  <c r="AY15" i="5" s="1"/>
  <c r="AU15" i="5" a="1"/>
  <c r="AU15" i="5" s="1"/>
  <c r="AW15" i="5" a="1"/>
  <c r="AW15" i="5" s="1"/>
  <c r="AV15" i="5" a="1"/>
  <c r="AV15" i="5" s="1"/>
  <c r="AX15" i="5" a="1"/>
  <c r="AX15" i="5" s="1"/>
  <c r="AX12" i="5" a="1"/>
  <c r="AX12" i="5" s="1"/>
  <c r="AV12" i="5" a="1"/>
  <c r="AV12" i="5" s="1"/>
  <c r="AZ12" i="5" a="1"/>
  <c r="AZ12" i="5" s="1"/>
  <c r="AU12" i="5" a="1"/>
  <c r="AU12" i="5" s="1"/>
  <c r="AY12" i="5" a="1"/>
  <c r="AY12" i="5" s="1"/>
  <c r="AW12" i="5" a="1"/>
  <c r="AW12" i="5" s="1"/>
  <c r="AU13" i="5" a="1"/>
  <c r="AU13" i="5" s="1"/>
  <c r="AY13" i="5" a="1"/>
  <c r="AY13" i="5" s="1"/>
  <c r="AW13" i="5" a="1"/>
  <c r="AW13" i="5" s="1"/>
  <c r="AV13" i="5" a="1"/>
  <c r="AV13" i="5" s="1"/>
  <c r="AX13" i="5" a="1"/>
  <c r="AX13" i="5" s="1"/>
  <c r="AZ13" i="5" a="1"/>
  <c r="AZ13" i="5" s="1"/>
  <c r="AV14" i="5" a="1"/>
  <c r="AV14" i="5" s="1"/>
  <c r="AY14" i="5" a="1"/>
  <c r="AY14" i="5" s="1"/>
  <c r="AZ14" i="5" a="1"/>
  <c r="AZ14" i="5" s="1"/>
  <c r="AX14" i="5" a="1"/>
  <c r="AX14" i="5" s="1"/>
  <c r="AU14" i="5" a="1"/>
  <c r="AU14" i="5" s="1"/>
  <c r="CG15" i="5"/>
  <c r="CF15" i="5"/>
  <c r="CD15" i="5"/>
  <c r="CE15" i="5"/>
  <c r="BV15" i="5"/>
  <c r="CE12" i="5"/>
  <c r="CD12" i="5"/>
  <c r="CG12" i="5"/>
  <c r="CG13" i="5"/>
  <c r="CF13" i="5"/>
  <c r="CD13" i="5"/>
  <c r="CE13" i="5"/>
  <c r="AW14" i="5" a="1"/>
  <c r="AW14" i="5" s="1"/>
  <c r="BV10" i="5"/>
  <c r="CG11" i="5"/>
  <c r="CF11" i="5"/>
  <c r="CD11" i="5"/>
  <c r="CE11" i="5"/>
  <c r="AP15" i="5"/>
  <c r="AP13" i="5"/>
  <c r="Z12" i="5"/>
  <c r="FP12" i="5" s="1"/>
  <c r="AH10" i="5"/>
  <c r="Z14" i="5"/>
  <c r="R10" i="5"/>
  <c r="AH15" i="5"/>
  <c r="AH13" i="5"/>
  <c r="AP11" i="5"/>
  <c r="Z10" i="5"/>
  <c r="R15" i="5"/>
  <c r="R13" i="5"/>
  <c r="AP14" i="5"/>
  <c r="AH11" i="5"/>
  <c r="AP12" i="5"/>
  <c r="Z13" i="5"/>
  <c r="R11" i="5"/>
  <c r="AP10" i="5"/>
  <c r="Z15" i="5"/>
  <c r="AH14" i="5"/>
  <c r="Z11" i="5"/>
  <c r="AH12" i="5"/>
  <c r="FQ12" i="5" s="1"/>
  <c r="R14" i="5"/>
  <c r="AV11" i="5" a="1"/>
  <c r="AV11" i="5" s="1"/>
  <c r="AU11" i="5" a="1"/>
  <c r="AU11" i="5" s="1"/>
  <c r="AW11" i="5" a="1"/>
  <c r="AW11" i="5" s="1"/>
  <c r="AZ11" i="5" a="1"/>
  <c r="AZ11" i="5" s="1"/>
  <c r="AY11" i="5" a="1"/>
  <c r="AY11" i="5" s="1"/>
  <c r="AX11" i="5" a="1"/>
  <c r="AX11" i="5" s="1"/>
  <c r="AU10" i="5" a="1"/>
  <c r="AU10" i="5" s="1"/>
  <c r="AX10" i="5" a="1"/>
  <c r="AX10" i="5" s="1"/>
  <c r="AV10" i="5" a="1"/>
  <c r="AV10" i="5" s="1"/>
  <c r="AZ10" i="5" a="1"/>
  <c r="AZ10" i="5" s="1"/>
  <c r="AY10" i="5" a="1"/>
  <c r="AY10" i="5" s="1"/>
  <c r="AW10" i="5" a="1"/>
  <c r="AW10" i="5" s="1"/>
  <c r="CF14" i="5"/>
  <c r="AI10" i="5" l="1"/>
  <c r="AJ10" i="5" s="1"/>
  <c r="AQ10" i="5"/>
  <c r="AR10" i="5" s="1"/>
  <c r="AA15" i="5"/>
  <c r="AC15" i="5" s="1" a="1"/>
  <c r="AC15" i="5" s="1"/>
  <c r="S10" i="5"/>
  <c r="U10" i="5" s="1" a="1"/>
  <c r="U10" i="5" s="1"/>
  <c r="S15" i="5"/>
  <c r="U15" i="5" s="1" a="1"/>
  <c r="U15" i="5" s="1"/>
  <c r="CA12" i="5"/>
  <c r="CA11" i="5"/>
  <c r="CC10" i="5"/>
  <c r="CA15" i="5"/>
  <c r="CC11" i="5"/>
  <c r="CB13" i="5"/>
  <c r="AA11" i="5"/>
  <c r="AC11" i="5" s="1" a="1"/>
  <c r="AC11" i="5" s="1"/>
  <c r="AI11" i="5"/>
  <c r="AJ11" i="5" s="1"/>
  <c r="S11" i="5"/>
  <c r="T11" i="5" s="1"/>
  <c r="BZ11" i="5"/>
  <c r="AQ14" i="5"/>
  <c r="AS14" i="5" s="1" a="1"/>
  <c r="AS14" i="5" s="1"/>
  <c r="AA14" i="5"/>
  <c r="AB14" i="5" s="1"/>
  <c r="S14" i="5"/>
  <c r="T14" i="5" s="1"/>
  <c r="AI14" i="5"/>
  <c r="AJ14" i="5" s="1"/>
  <c r="AI12" i="5"/>
  <c r="AJ12" i="5" s="1"/>
  <c r="AA12" i="5"/>
  <c r="AB12" i="5" s="1"/>
  <c r="CB12" i="5"/>
  <c r="CB10" i="5"/>
  <c r="DW10" i="5"/>
  <c r="EC10" i="5" s="1" a="1"/>
  <c r="EC10" i="5" s="1"/>
  <c r="CB15" i="5"/>
  <c r="CB14" i="5"/>
  <c r="BZ12" i="5"/>
  <c r="CB11" i="5"/>
  <c r="BZ14" i="5"/>
  <c r="CA13" i="5"/>
  <c r="DW13" i="5"/>
  <c r="EC13" i="5" s="1" a="1"/>
  <c r="EC13" i="5" s="1"/>
  <c r="CA14" i="5"/>
  <c r="BZ13" i="5"/>
  <c r="DW15" i="5"/>
  <c r="EC15" i="5" s="1" a="1"/>
  <c r="EC15" i="5" s="1"/>
  <c r="DW14" i="5"/>
  <c r="EC14" i="5" s="1" a="1"/>
  <c r="EC14" i="5" s="1"/>
  <c r="DW11" i="5"/>
  <c r="EC11" i="5" s="1" a="1"/>
  <c r="EC11" i="5" s="1"/>
  <c r="BZ15" i="5"/>
  <c r="DW12" i="5"/>
  <c r="EC12" i="5" s="1" a="1"/>
  <c r="EC12" i="5" s="1"/>
  <c r="BZ10" i="5"/>
  <c r="U12" i="5" a="1"/>
  <c r="U12" i="5" s="1"/>
  <c r="FO12" i="5"/>
  <c r="AJ13" i="5"/>
  <c r="AK13" i="5" a="1"/>
  <c r="AK13" i="5" s="1"/>
  <c r="DE13" i="5"/>
  <c r="DC13" i="5"/>
  <c r="DC10" i="5"/>
  <c r="DE10" i="5"/>
  <c r="AJ15" i="5"/>
  <c r="AK15" i="5" a="1"/>
  <c r="AK15" i="5" s="1"/>
  <c r="FO11" i="5"/>
  <c r="AC13" i="5" a="1"/>
  <c r="AC13" i="5" s="1"/>
  <c r="AB13" i="5"/>
  <c r="DE12" i="5"/>
  <c r="DC12" i="5"/>
  <c r="AS12" i="5" a="1"/>
  <c r="AS12" i="5" s="1"/>
  <c r="FR12" i="5"/>
  <c r="AR12" i="5"/>
  <c r="AS13" i="5" a="1"/>
  <c r="AS13" i="5" s="1"/>
  <c r="FR13" i="5"/>
  <c r="AR13" i="5"/>
  <c r="DC11" i="5"/>
  <c r="DE11" i="5"/>
  <c r="DC14" i="5"/>
  <c r="DE14" i="5"/>
  <c r="U13" i="5" a="1"/>
  <c r="U13" i="5" s="1"/>
  <c r="T13" i="5"/>
  <c r="DC15" i="5"/>
  <c r="DE15" i="5"/>
  <c r="FO10" i="5"/>
  <c r="AS15" i="5" a="1"/>
  <c r="AS15" i="5" s="1"/>
  <c r="AR15" i="5"/>
  <c r="FR15" i="5"/>
  <c r="AC10" i="5" a="1"/>
  <c r="AC10" i="5" s="1"/>
  <c r="EZ10" i="5" s="1"/>
  <c r="AB10" i="5"/>
  <c r="FP10" i="5"/>
  <c r="AR11" i="5"/>
  <c r="FR11" i="5"/>
  <c r="AS11" i="5" a="1"/>
  <c r="AS11" i="5" s="1"/>
  <c r="FM11" i="5" s="1" a="1"/>
  <c r="FM11" i="5" s="1"/>
  <c r="AS10" i="5" l="1" a="1"/>
  <c r="AS10" i="5" s="1"/>
  <c r="AK10" i="5" a="1"/>
  <c r="AK10" i="5" s="1"/>
  <c r="AB15" i="5"/>
  <c r="AC14" i="5" a="1"/>
  <c r="AC14" i="5" s="1"/>
  <c r="T10" i="5"/>
  <c r="T15" i="5"/>
  <c r="U11" i="5" a="1"/>
  <c r="U11" i="5" s="1"/>
  <c r="AK14" i="5" a="1"/>
  <c r="AK14" i="5" s="1"/>
  <c r="U14" i="5" a="1"/>
  <c r="U14" i="5" s="1"/>
  <c r="AK12" i="5" a="1"/>
  <c r="AK12" i="5" s="1"/>
  <c r="AR14" i="5"/>
  <c r="AB11" i="5"/>
  <c r="AK11" i="5" a="1"/>
  <c r="AK11" i="5" s="1"/>
  <c r="AC12" i="5" a="1"/>
  <c r="AC12" i="5" s="1"/>
  <c r="CH11" i="5"/>
  <c r="CH12" i="5"/>
  <c r="CH10" i="5"/>
  <c r="CH14" i="5"/>
  <c r="CH15" i="5"/>
  <c r="CH13" i="5"/>
  <c r="FU13" i="5"/>
  <c r="BA13" i="5" s="1"/>
  <c r="DF13" i="5" s="1" a="1"/>
  <c r="DF13" i="5" s="1"/>
  <c r="FS13" i="5"/>
  <c r="FI10" i="5"/>
  <c r="FH10" i="5" a="1"/>
  <c r="FH10" i="5" s="1"/>
  <c r="FU15" i="5"/>
  <c r="BA15" i="5" s="1"/>
  <c r="DF15" i="5" s="1" a="1"/>
  <c r="DF15" i="5" s="1"/>
  <c r="FS15" i="5"/>
  <c r="FU10" i="5" l="1"/>
  <c r="BA10" i="5" s="1"/>
  <c r="DF10" i="5" s="1" a="1"/>
  <c r="DF10" i="5" s="1"/>
  <c r="FS10" i="5"/>
  <c r="FS11" i="5"/>
  <c r="FU14" i="5"/>
  <c r="BA14" i="5" s="1"/>
  <c r="FS12" i="5"/>
  <c r="FS14" i="5"/>
  <c r="FU11" i="5"/>
  <c r="BA11" i="5" s="1"/>
  <c r="DF11" i="5" s="1" a="1"/>
  <c r="DF11" i="5" s="1"/>
  <c r="FU12" i="5"/>
  <c r="BA12" i="5" s="1"/>
  <c r="B13" i="5" a="1"/>
  <c r="B13" i="5" s="1"/>
  <c r="C13" i="5" a="1"/>
  <c r="C13" i="5" s="1"/>
  <c r="CO13" i="5" s="1"/>
  <c r="CP13" i="5" s="1"/>
  <c r="D13" i="5" a="1"/>
  <c r="D13" i="5" s="1"/>
  <c r="E13" i="5"/>
  <c r="C15" i="5" a="1"/>
  <c r="C15" i="5" s="1"/>
  <c r="CO15" i="5" s="1"/>
  <c r="CP15" i="5" s="1"/>
  <c r="D15" i="5" a="1"/>
  <c r="D15" i="5" s="1"/>
  <c r="B15" i="5" a="1"/>
  <c r="B15" i="5" s="1"/>
  <c r="E15" i="5"/>
  <c r="DF14" i="5" l="1" a="1"/>
  <c r="DF14" i="5" s="1"/>
  <c r="B14" i="5" a="1"/>
  <c r="B14" i="5" s="1"/>
  <c r="ER14" i="5" s="1"/>
  <c r="D10" i="5" a="1"/>
  <c r="D10" i="5" s="1"/>
  <c r="E10" i="5"/>
  <c r="EE10" i="5" s="1"/>
  <c r="B10" i="5" a="1"/>
  <c r="B10" i="5" s="1"/>
  <c r="DT10" i="5" s="1"/>
  <c r="C10" i="5" a="1"/>
  <c r="C10" i="5" s="1"/>
  <c r="CO10" i="5" s="1"/>
  <c r="CP10" i="5" s="1"/>
  <c r="C14" i="5" a="1"/>
  <c r="C14" i="5" s="1"/>
  <c r="CO14" i="5" s="1"/>
  <c r="CP14" i="5" s="1"/>
  <c r="D14" i="5" a="1"/>
  <c r="D14" i="5" s="1"/>
  <c r="E14" i="5"/>
  <c r="EE14" i="5" s="1"/>
  <c r="CM13" i="5"/>
  <c r="E11" i="5"/>
  <c r="EE11" i="5" s="1"/>
  <c r="B11" i="5" a="1"/>
  <c r="B11" i="5" s="1"/>
  <c r="DT11" i="5" s="1"/>
  <c r="C11" i="5" a="1"/>
  <c r="C11" i="5" s="1"/>
  <c r="CO11" i="5" s="1"/>
  <c r="CP11" i="5" s="1"/>
  <c r="D12" i="5" a="1"/>
  <c r="D12" i="5" s="1"/>
  <c r="B12" i="5" a="1"/>
  <c r="B12" i="5" s="1"/>
  <c r="DT12" i="5" s="1"/>
  <c r="CM10" i="5"/>
  <c r="DF12" i="5" a="1"/>
  <c r="DF12" i="5" s="1"/>
  <c r="CM12" i="5"/>
  <c r="CM11" i="5"/>
  <c r="CM15" i="5"/>
  <c r="E12" i="5"/>
  <c r="EE12" i="5" s="1"/>
  <c r="C12" i="5" a="1"/>
  <c r="C12" i="5" s="1"/>
  <c r="CO12" i="5" s="1"/>
  <c r="CP12" i="5" s="1"/>
  <c r="D11" i="5" a="1"/>
  <c r="D11" i="5" s="1"/>
  <c r="CM14" i="5"/>
  <c r="EE15" i="5"/>
  <c r="DT15" i="5"/>
  <c r="ER15" i="5"/>
  <c r="EE13" i="5"/>
  <c r="DT13" i="5"/>
  <c r="ER13" i="5"/>
  <c r="EO15" i="5" l="1"/>
  <c r="EN15" i="5"/>
  <c r="EO10" i="5"/>
  <c r="EN10" i="5"/>
  <c r="EO13" i="5"/>
  <c r="EN13" i="5"/>
  <c r="H13" i="5" s="1" a="1"/>
  <c r="H13" i="5" s="1"/>
  <c r="EO11" i="5"/>
  <c r="EN11" i="5"/>
  <c r="FV11" i="5" s="1" a="1"/>
  <c r="FV11" i="5" s="1"/>
  <c r="DH11" i="5" s="1"/>
  <c r="EO12" i="5"/>
  <c r="EN12" i="5"/>
  <c r="FV12" i="5" s="1" a="1"/>
  <c r="FV12" i="5" s="1"/>
  <c r="DH12" i="5" s="1"/>
  <c r="EO14" i="5"/>
  <c r="EN14" i="5"/>
  <c r="FV14" i="5" s="1" a="1"/>
  <c r="FV14" i="5" s="1"/>
  <c r="DH14" i="5" s="1"/>
  <c r="DT14" i="5"/>
  <c r="FV10" i="5" a="1"/>
  <c r="FV10" i="5" s="1"/>
  <c r="DH10" i="5" s="1"/>
  <c r="H10" i="5" a="1"/>
  <c r="H10" i="5" s="1"/>
  <c r="H15" i="5" a="1"/>
  <c r="H15" i="5" s="1"/>
  <c r="ER10" i="5"/>
  <c r="ER11" i="5"/>
  <c r="CK12" i="5"/>
  <c r="CK14" i="5"/>
  <c r="ER12" i="5"/>
  <c r="CK10" i="5"/>
  <c r="CK11" i="5"/>
  <c r="CK15" i="5"/>
  <c r="CK13" i="5"/>
  <c r="FV15" i="5" l="1" a="1"/>
  <c r="FV15" i="5" s="1"/>
  <c r="DH15" i="5" s="1"/>
  <c r="FV13" i="5" a="1"/>
  <c r="FV13" i="5" s="1"/>
  <c r="DH13" i="5" s="1"/>
  <c r="H14" i="5" a="1"/>
  <c r="H14" i="5" s="1"/>
  <c r="DU14" i="5" s="1"/>
  <c r="DV14" i="5" s="1"/>
  <c r="H11" i="5" a="1"/>
  <c r="H11" i="5" s="1"/>
  <c r="K11" i="5" s="1" a="1"/>
  <c r="K11" i="5" s="1"/>
  <c r="I11" i="5" s="1"/>
  <c r="H12" i="5" a="1"/>
  <c r="H12" i="5" s="1"/>
  <c r="CX12" i="5" s="1"/>
  <c r="DD11" i="5"/>
  <c r="ES11" i="5" s="1"/>
  <c r="F11" i="5"/>
  <c r="ET11" i="5"/>
  <c r="G11" i="5"/>
  <c r="CQ11" i="5" s="1"/>
  <c r="DD12" i="5"/>
  <c r="ES12" i="5" s="1"/>
  <c r="F12" i="5"/>
  <c r="ET12" i="5"/>
  <c r="G12" i="5"/>
  <c r="CQ12" i="5" s="1"/>
  <c r="ED15" i="5"/>
  <c r="DU15" i="5"/>
  <c r="DV15" i="5" s="1"/>
  <c r="CX15" i="5"/>
  <c r="K15" i="5" a="1"/>
  <c r="K15" i="5" s="1"/>
  <c r="I15" i="5" s="1"/>
  <c r="ED10" i="5"/>
  <c r="K10" i="5" a="1"/>
  <c r="K10" i="5" s="1"/>
  <c r="I10" i="5" s="1"/>
  <c r="DU10" i="5"/>
  <c r="DV10" i="5" s="1"/>
  <c r="CX10" i="5"/>
  <c r="ED13" i="5"/>
  <c r="K13" i="5" a="1"/>
  <c r="K13" i="5" s="1"/>
  <c r="I13" i="5" s="1"/>
  <c r="DU13" i="5"/>
  <c r="DV13" i="5" s="1"/>
  <c r="CX13" i="5"/>
  <c r="F10" i="5"/>
  <c r="DD10" i="5"/>
  <c r="ES10" i="5" s="1"/>
  <c r="ET10" i="5"/>
  <c r="G10" i="5"/>
  <c r="CQ10" i="5" s="1"/>
  <c r="F14" i="5"/>
  <c r="DD14" i="5"/>
  <c r="ES14" i="5" s="1"/>
  <c r="G14" i="5"/>
  <c r="CQ14" i="5" s="1"/>
  <c r="F15" i="5" l="1"/>
  <c r="DD15" i="5"/>
  <c r="ES15" i="5" s="1"/>
  <c r="FJ15" i="5" s="1"/>
  <c r="G15" i="5"/>
  <c r="CQ15" i="5" s="1"/>
  <c r="CN10" i="5" a="1"/>
  <c r="CN10" i="5" s="1"/>
  <c r="CN15" i="5" a="1"/>
  <c r="CN15" i="5" s="1"/>
  <c r="G13" i="5"/>
  <c r="CQ13" i="5" s="1"/>
  <c r="DD13" i="5"/>
  <c r="ES13" i="5" s="1"/>
  <c r="FN13" i="5" s="1"/>
  <c r="CN13" i="5" a="1"/>
  <c r="CN13" i="5" s="1"/>
  <c r="CN12" i="5" a="1"/>
  <c r="CN12" i="5" s="1"/>
  <c r="F13" i="5"/>
  <c r="CW12" i="5" s="1"/>
  <c r="CN14" i="5" a="1"/>
  <c r="CN14" i="5" s="1"/>
  <c r="CN11" i="5" a="1"/>
  <c r="CN11" i="5" s="1"/>
  <c r="CX11" i="5"/>
  <c r="DA11" i="5" s="1"/>
  <c r="DU11" i="5"/>
  <c r="DV11" i="5" s="1"/>
  <c r="ED11" i="5"/>
  <c r="K14" i="5" a="1"/>
  <c r="K14" i="5" s="1"/>
  <c r="I14" i="5" s="1"/>
  <c r="ED14" i="5"/>
  <c r="CX14" i="5"/>
  <c r="DA14" i="5" s="1"/>
  <c r="K12" i="5" a="1"/>
  <c r="K12" i="5" s="1"/>
  <c r="I12" i="5" s="1"/>
  <c r="DU12" i="5"/>
  <c r="DV12" i="5" s="1"/>
  <c r="ED12" i="5"/>
  <c r="DB15" i="5"/>
  <c r="CZ15" i="5" a="1"/>
  <c r="CZ15" i="5" s="1"/>
  <c r="CU15" i="5" a="1"/>
  <c r="CU15" i="5" s="1"/>
  <c r="DA15" i="5"/>
  <c r="FJ10" i="5"/>
  <c r="FN10" i="5"/>
  <c r="DA13" i="5"/>
  <c r="CZ13" i="5" a="1"/>
  <c r="CZ13" i="5" s="1"/>
  <c r="DB13" i="5"/>
  <c r="CU13" i="5" a="1"/>
  <c r="CU13" i="5" s="1"/>
  <c r="ET15" i="5"/>
  <c r="FJ11" i="5"/>
  <c r="FN11" i="5"/>
  <c r="ET14" i="5"/>
  <c r="ET13" i="5"/>
  <c r="FN14" i="5"/>
  <c r="FJ14" i="5"/>
  <c r="CR13" i="5"/>
  <c r="CU10" i="5" a="1"/>
  <c r="CU10" i="5" s="1"/>
  <c r="DA10" i="5"/>
  <c r="DB10" i="5"/>
  <c r="CZ10" i="5" a="1"/>
  <c r="CZ10" i="5" s="1"/>
  <c r="FJ12" i="5"/>
  <c r="FN12" i="5"/>
  <c r="DB12" i="5"/>
  <c r="CZ12" i="5" a="1"/>
  <c r="CZ12" i="5" s="1"/>
  <c r="DA12" i="5"/>
  <c r="CU12" i="5" a="1"/>
  <c r="CU12" i="5" s="1"/>
  <c r="CR11" i="5" l="1"/>
  <c r="CR15" i="5"/>
  <c r="CS12" i="5"/>
  <c r="CJ12" i="5"/>
  <c r="FN15" i="5"/>
  <c r="CR10" i="5"/>
  <c r="CJ15" i="5"/>
  <c r="CR12" i="5"/>
  <c r="CW15" i="5"/>
  <c r="CW14" i="5"/>
  <c r="CZ11" i="5" a="1"/>
  <c r="CZ11" i="5" s="1"/>
  <c r="CJ14" i="5"/>
  <c r="CU11" i="5" a="1"/>
  <c r="CU11" i="5" s="1"/>
  <c r="CI11" i="5" s="1"/>
  <c r="CL11" i="5" s="1"/>
  <c r="FJ13" i="5"/>
  <c r="J13" i="5" s="1"/>
  <c r="CR14" i="5"/>
  <c r="CS15" i="5"/>
  <c r="CS11" i="5"/>
  <c r="CS13" i="5"/>
  <c r="CJ13" i="5"/>
  <c r="CW13" i="5"/>
  <c r="CJ11" i="5"/>
  <c r="CJ10" i="5"/>
  <c r="CS14" i="5"/>
  <c r="CW11" i="5"/>
  <c r="DB11" i="5"/>
  <c r="CW10" i="5"/>
  <c r="CS10" i="5"/>
  <c r="CZ14" i="5" a="1"/>
  <c r="CZ14" i="5" s="1"/>
  <c r="DB14" i="5"/>
  <c r="CU14" i="5" a="1"/>
  <c r="CU14" i="5" s="1"/>
  <c r="CI14" i="5" s="1"/>
  <c r="CL14" i="5" s="1"/>
  <c r="J15" i="5"/>
  <c r="J10" i="5"/>
  <c r="J11" i="5"/>
  <c r="J14" i="5"/>
  <c r="J12" i="5"/>
  <c r="CI15" i="5"/>
  <c r="CV15" i="5" a="1"/>
  <c r="CV15" i="5" s="1"/>
  <c r="CT15" i="5" s="1"/>
  <c r="CI10" i="5"/>
  <c r="CV10" i="5" a="1"/>
  <c r="CV10" i="5" s="1"/>
  <c r="CT10" i="5" s="1"/>
  <c r="CI13" i="5"/>
  <c r="CV13" i="5" a="1"/>
  <c r="CV13" i="5" s="1"/>
  <c r="CT13" i="5" s="1"/>
  <c r="CI12" i="5"/>
  <c r="CL12" i="5" s="1"/>
  <c r="CV12" i="5" a="1"/>
  <c r="CV12" i="5" s="1"/>
  <c r="CT12" i="5" s="1"/>
  <c r="CL15" i="5" l="1"/>
  <c r="CV11" i="5" a="1"/>
  <c r="CV11" i="5" s="1"/>
  <c r="CT11" i="5" s="1"/>
  <c r="CL13" i="5"/>
  <c r="CV14" i="5" a="1"/>
  <c r="CV14" i="5" s="1"/>
  <c r="CT14" i="5" s="1"/>
  <c r="B7" i="5" a="1"/>
  <c r="B7" i="5" s="1"/>
  <c r="D7" i="5" s="1" a="1"/>
  <c r="D7" i="5" s="1"/>
  <c r="CL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<sst xmlns="http://schemas.openxmlformats.org/spreadsheetml/2006/main" count="6481" uniqueCount="1376">
  <si>
    <t>Pokemon</t>
  </si>
  <si>
    <t>Galar Mine</t>
  </si>
  <si>
    <t>Stow-on-Side</t>
  </si>
  <si>
    <t>Type1</t>
  </si>
  <si>
    <t>Type2</t>
  </si>
  <si>
    <t>HP</t>
  </si>
  <si>
    <t>ATK</t>
  </si>
  <si>
    <t>DEF</t>
  </si>
  <si>
    <t>SPA</t>
  </si>
  <si>
    <t>SPD</t>
  </si>
  <si>
    <t>SPE</t>
  </si>
  <si>
    <t>Move1</t>
  </si>
  <si>
    <t>Move1Type</t>
  </si>
  <si>
    <t>Move2</t>
  </si>
  <si>
    <t>Move2Type</t>
  </si>
  <si>
    <t>Move3</t>
  </si>
  <si>
    <t>Move3Type</t>
  </si>
  <si>
    <t>Move4</t>
  </si>
  <si>
    <t>Move4Type</t>
  </si>
  <si>
    <t>Fire</t>
  </si>
  <si>
    <t>Fighting</t>
  </si>
  <si>
    <t>Bug</t>
  </si>
  <si>
    <t>Psychic</t>
  </si>
  <si>
    <t>Ground</t>
  </si>
  <si>
    <t>Steel</t>
  </si>
  <si>
    <t>Rock</t>
  </si>
  <si>
    <t>Swords Dance</t>
  </si>
  <si>
    <t>Move1Category</t>
  </si>
  <si>
    <t>Move2Category</t>
  </si>
  <si>
    <t>Move3Category</t>
  </si>
  <si>
    <t>Move4Category</t>
  </si>
  <si>
    <t>Physical</t>
  </si>
  <si>
    <t>Normal</t>
  </si>
  <si>
    <t>Status</t>
  </si>
  <si>
    <t>Water</t>
  </si>
  <si>
    <t>Flying</t>
  </si>
  <si>
    <t>Waterfall</t>
  </si>
  <si>
    <t>Crunch</t>
  </si>
  <si>
    <t>Dark</t>
  </si>
  <si>
    <t>Ice Fang</t>
  </si>
  <si>
    <t>Ice</t>
  </si>
  <si>
    <t>Electric</t>
  </si>
  <si>
    <t>Special</t>
  </si>
  <si>
    <t>Grass</t>
  </si>
  <si>
    <t>Fairy</t>
  </si>
  <si>
    <t>Magical Leaf</t>
  </si>
  <si>
    <t>Ghost</t>
  </si>
  <si>
    <t>Dragon</t>
  </si>
  <si>
    <t>Move1Power</t>
  </si>
  <si>
    <t>Move2Power</t>
  </si>
  <si>
    <t>Move3Power</t>
  </si>
  <si>
    <t>Move4Power</t>
  </si>
  <si>
    <t>AttackType ↓ / DefendingType →</t>
  </si>
  <si>
    <t>Poison</t>
  </si>
  <si>
    <t>Trainer</t>
  </si>
  <si>
    <t>Battle</t>
  </si>
  <si>
    <t>Slot</t>
  </si>
  <si>
    <t>Milo</t>
  </si>
  <si>
    <t>Gym 1</t>
  </si>
  <si>
    <t>Gossifleur</t>
  </si>
  <si>
    <t>Round</t>
  </si>
  <si>
    <t>Rapid Spin</t>
  </si>
  <si>
    <t>Eldegoss</t>
  </si>
  <si>
    <t>Max Overgrowth</t>
  </si>
  <si>
    <t>Max Strike</t>
  </si>
  <si>
    <t>Team Member</t>
  </si>
  <si>
    <t>Best Move</t>
  </si>
  <si>
    <t>Best Move Type</t>
  </si>
  <si>
    <t>Offensive Multiplier</t>
  </si>
  <si>
    <t>Notes</t>
  </si>
  <si>
    <t>Gym 2</t>
  </si>
  <si>
    <t>Nessa</t>
  </si>
  <si>
    <t>Goldeen</t>
  </si>
  <si>
    <t>Water Pulse</t>
  </si>
  <si>
    <t>Whirlpool</t>
  </si>
  <si>
    <t>Horn Attack</t>
  </si>
  <si>
    <t>Agility</t>
  </si>
  <si>
    <t>Opponent Type 1</t>
  </si>
  <si>
    <t>Opponent Type 2</t>
  </si>
  <si>
    <t>Move1Effectiveness</t>
  </si>
  <si>
    <t>Move1Score</t>
  </si>
  <si>
    <t>Move2Effectiveness</t>
  </si>
  <si>
    <t>Move2Score</t>
  </si>
  <si>
    <t>Move3Effectiveness</t>
  </si>
  <si>
    <t>Move3Score</t>
  </si>
  <si>
    <t>Move4Effectiveness</t>
  </si>
  <si>
    <t>Move4Score</t>
  </si>
  <si>
    <t>Move1STAB</t>
  </si>
  <si>
    <t>Move1Ratio</t>
  </si>
  <si>
    <t>Move2STAB</t>
  </si>
  <si>
    <t>Move2Ratio</t>
  </si>
  <si>
    <t>Move3STAB</t>
  </si>
  <si>
    <t>Move3Ratio</t>
  </si>
  <si>
    <t>Move4STAB</t>
  </si>
  <si>
    <t>Move4Ratio</t>
  </si>
  <si>
    <t>Incoming Worst Move</t>
  </si>
  <si>
    <t>Flame Charge</t>
  </si>
  <si>
    <t>Double Kick</t>
  </si>
  <si>
    <t>Growl</t>
  </si>
  <si>
    <t>Wyndon Stadium</t>
  </si>
  <si>
    <t>Golisopod</t>
  </si>
  <si>
    <t>First Impression</t>
  </si>
  <si>
    <t>Liquidation</t>
  </si>
  <si>
    <t>Shadow Claw</t>
  </si>
  <si>
    <t>Arrokuda</t>
  </si>
  <si>
    <t>Aqua Jet</t>
  </si>
  <si>
    <t>Bite</t>
  </si>
  <si>
    <t>Fury Attack</t>
  </si>
  <si>
    <t>Drednaw</t>
  </si>
  <si>
    <t>Max Geyser</t>
  </si>
  <si>
    <t>Best Move Score</t>
  </si>
  <si>
    <t>Seaking</t>
  </si>
  <si>
    <t>Smart Strike</t>
  </si>
  <si>
    <t>Megahorn</t>
  </si>
  <si>
    <t>Aqua Ring</t>
  </si>
  <si>
    <t>Max Darkness</t>
  </si>
  <si>
    <t>Pelipper</t>
  </si>
  <si>
    <t>Barraskewda</t>
  </si>
  <si>
    <t>Roost</t>
  </si>
  <si>
    <t>Tailwind</t>
  </si>
  <si>
    <t>Air Slash</t>
  </si>
  <si>
    <t>Throat Chop</t>
  </si>
  <si>
    <t>Drill Run</t>
  </si>
  <si>
    <t>G-Max Stonesurge</t>
  </si>
  <si>
    <t>Max Rockfall</t>
  </si>
  <si>
    <t>Crush Claw</t>
  </si>
  <si>
    <t>Metal Claw</t>
  </si>
  <si>
    <t>Mud-Slap</t>
  </si>
  <si>
    <t>Nuzzle</t>
  </si>
  <si>
    <t>Roar</t>
  </si>
  <si>
    <t>Spark</t>
  </si>
  <si>
    <t>Move</t>
  </si>
  <si>
    <t>Power</t>
  </si>
  <si>
    <t>Type</t>
  </si>
  <si>
    <t>Category</t>
  </si>
  <si>
    <t>Accuracy</t>
  </si>
  <si>
    <t>10,000,000 Volt Thunderbolt</t>
  </si>
  <si>
    <t>Absorb</t>
  </si>
  <si>
    <t>Accelerock</t>
  </si>
  <si>
    <t>Acid</t>
  </si>
  <si>
    <t>Acid Spray</t>
  </si>
  <si>
    <t>Acrobatics</t>
  </si>
  <si>
    <t>Aerial Ace</t>
  </si>
  <si>
    <t>Aeroblast</t>
  </si>
  <si>
    <t>Air Cutter</t>
  </si>
  <si>
    <t>Anchor Shot</t>
  </si>
  <si>
    <t>Ancient Power</t>
  </si>
  <si>
    <t>Apple Acid</t>
  </si>
  <si>
    <t>Aqua Tail</t>
  </si>
  <si>
    <t>Arm Thrust</t>
  </si>
  <si>
    <t>Assurance</t>
  </si>
  <si>
    <t>Astonish</t>
  </si>
  <si>
    <t>Astral Barrage</t>
  </si>
  <si>
    <t>Attack Order</t>
  </si>
  <si>
    <t>Aura Sphere</t>
  </si>
  <si>
    <t>Aura Wheel</t>
  </si>
  <si>
    <t>Aurora Beam</t>
  </si>
  <si>
    <t>Avalanche</t>
  </si>
  <si>
    <t>Baddy Bad</t>
  </si>
  <si>
    <t>Barb Barrage</t>
  </si>
  <si>
    <t>Barrage</t>
  </si>
  <si>
    <t>Beak Blast</t>
  </si>
  <si>
    <t>Beat Up</t>
  </si>
  <si>
    <t>Behemoth Bash</t>
  </si>
  <si>
    <t>Behemoth Blade</t>
  </si>
  <si>
    <t>Belch</t>
  </si>
  <si>
    <t>Bide</t>
  </si>
  <si>
    <t>Bind</t>
  </si>
  <si>
    <t>Bitter Malice</t>
  </si>
  <si>
    <t>Blast Burn</t>
  </si>
  <si>
    <t>Blaze Kick</t>
  </si>
  <si>
    <t>Bleakwind Storm</t>
  </si>
  <si>
    <t>Blizzard</t>
  </si>
  <si>
    <t>Blue Flare</t>
  </si>
  <si>
    <t>Body Press</t>
  </si>
  <si>
    <t>Body Slam</t>
  </si>
  <si>
    <t>Bolt Beak</t>
  </si>
  <si>
    <t>Bolt Strike</t>
  </si>
  <si>
    <t>Bone Club</t>
  </si>
  <si>
    <t>Bone Rush</t>
  </si>
  <si>
    <t>Bonemerang</t>
  </si>
  <si>
    <t>Boomburst</t>
  </si>
  <si>
    <t>Bounce</t>
  </si>
  <si>
    <t>Bouncy Bubble</t>
  </si>
  <si>
    <t>Branch Poke</t>
  </si>
  <si>
    <t>Brave Bird</t>
  </si>
  <si>
    <t>Breaking Swipe</t>
  </si>
  <si>
    <t>Brick Break</t>
  </si>
  <si>
    <t>Brine</t>
  </si>
  <si>
    <t>Brutal Swing</t>
  </si>
  <si>
    <t>Bubble</t>
  </si>
  <si>
    <t>Bubble Beam</t>
  </si>
  <si>
    <t>Bug Bite</t>
  </si>
  <si>
    <t>Bug Buzz</t>
  </si>
  <si>
    <t>Bulldoze</t>
  </si>
  <si>
    <t>Bullet Punch</t>
  </si>
  <si>
    <t>Bullet Seed</t>
  </si>
  <si>
    <t>Burn Up</t>
  </si>
  <si>
    <t>Burning Jealousy</t>
  </si>
  <si>
    <t>Buzzy Buzz</t>
  </si>
  <si>
    <t>Catastropika</t>
  </si>
  <si>
    <t>Ceaseless Edge</t>
  </si>
  <si>
    <t>Charge Beam</t>
  </si>
  <si>
    <t>Chatter</t>
  </si>
  <si>
    <t>Chip Away</t>
  </si>
  <si>
    <t>Chloroblast</t>
  </si>
  <si>
    <t>Circle Throw</t>
  </si>
  <si>
    <t>Clamp</t>
  </si>
  <si>
    <t>Clanging Scales</t>
  </si>
  <si>
    <t>Clangorous Soulblaze</t>
  </si>
  <si>
    <t>Clear Smog</t>
  </si>
  <si>
    <t>Close Combat</t>
  </si>
  <si>
    <t>Comet Punch</t>
  </si>
  <si>
    <t>Confusion</t>
  </si>
  <si>
    <t>Constrict</t>
  </si>
  <si>
    <t>Core Enforcer</t>
  </si>
  <si>
    <t>Counter</t>
  </si>
  <si>
    <t>Covet</t>
  </si>
  <si>
    <t>Crabhammer</t>
  </si>
  <si>
    <t>Cross Chop</t>
  </si>
  <si>
    <t>Cross Poison</t>
  </si>
  <si>
    <t>Crush Grip</t>
  </si>
  <si>
    <t>Cut</t>
  </si>
  <si>
    <t>Dark Pulse</t>
  </si>
  <si>
    <t>Darkest Lariat</t>
  </si>
  <si>
    <t>Dazzling Gleam</t>
  </si>
  <si>
    <t>Diamond Storm</t>
  </si>
  <si>
    <t>Dig</t>
  </si>
  <si>
    <t>Dire Claw</t>
  </si>
  <si>
    <t>Disarming Voice</t>
  </si>
  <si>
    <t>Discharge</t>
  </si>
  <si>
    <t>Dive</t>
  </si>
  <si>
    <t>Dizzy Punch</t>
  </si>
  <si>
    <t>Doom Desire</t>
  </si>
  <si>
    <t>Double Hit</t>
  </si>
  <si>
    <t>Double Iron Bash</t>
  </si>
  <si>
    <t>Double Slap</t>
  </si>
  <si>
    <t>Double-Edge</t>
  </si>
  <si>
    <t>Draco Meteor</t>
  </si>
  <si>
    <t>Dragon Ascent</t>
  </si>
  <si>
    <t>Dragon Breath</t>
  </si>
  <si>
    <t>Dragon Claw</t>
  </si>
  <si>
    <t>Dragon Darts</t>
  </si>
  <si>
    <t>Dragon Energy</t>
  </si>
  <si>
    <t>Dragon Hammer</t>
  </si>
  <si>
    <t>Dragon Pulse</t>
  </si>
  <si>
    <t>Dragon Rage</t>
  </si>
  <si>
    <t>Dragon Rush</t>
  </si>
  <si>
    <t>Dragon Tail</t>
  </si>
  <si>
    <t>Drain Punch</t>
  </si>
  <si>
    <t>Draining Kiss</t>
  </si>
  <si>
    <t>Dream Eater</t>
  </si>
  <si>
    <t>Drill Peck</t>
  </si>
  <si>
    <t>Drum Beating</t>
  </si>
  <si>
    <t>Dual Chop</t>
  </si>
  <si>
    <t>Dual Wingbeat</t>
  </si>
  <si>
    <t>Dynamax Cannon</t>
  </si>
  <si>
    <t>Dynamic Punch</t>
  </si>
  <si>
    <t>Earth Power</t>
  </si>
  <si>
    <t>Earthquake</t>
  </si>
  <si>
    <t>Echoed Voice</t>
  </si>
  <si>
    <t>Eerie Spell</t>
  </si>
  <si>
    <t>Egg Bomb</t>
  </si>
  <si>
    <t>Electro Ball</t>
  </si>
  <si>
    <t>Electroweb</t>
  </si>
  <si>
    <t>Ember</t>
  </si>
  <si>
    <t>Endeavor</t>
  </si>
  <si>
    <t>Energy Ball</t>
  </si>
  <si>
    <t>Eruption</t>
  </si>
  <si>
    <t>Esper Wing</t>
  </si>
  <si>
    <t>Eternabeam</t>
  </si>
  <si>
    <t>Expanding Force</t>
  </si>
  <si>
    <t>Explosion</t>
  </si>
  <si>
    <t>Extrasensory</t>
  </si>
  <si>
    <t>Extreme Speed</t>
  </si>
  <si>
    <t>Facade</t>
  </si>
  <si>
    <t>Fairy Wind</t>
  </si>
  <si>
    <t>Fake Out</t>
  </si>
  <si>
    <t>False Surrender</t>
  </si>
  <si>
    <t>False Swipe</t>
  </si>
  <si>
    <t>Feint</t>
  </si>
  <si>
    <t>Feint Attack</t>
  </si>
  <si>
    <t>Fell Stinger</t>
  </si>
  <si>
    <t>Fiery Dance</t>
  </si>
  <si>
    <t>Fiery Wrath</t>
  </si>
  <si>
    <t>Final Gambit</t>
  </si>
  <si>
    <t>Fire Blast</t>
  </si>
  <si>
    <t>Fire Fang</t>
  </si>
  <si>
    <t>Fire Lash</t>
  </si>
  <si>
    <t>Fire Pledge</t>
  </si>
  <si>
    <t>Fire Punch</t>
  </si>
  <si>
    <t>Fire Spin</t>
  </si>
  <si>
    <t>Fishious Rend</t>
  </si>
  <si>
    <t>Fissure</t>
  </si>
  <si>
    <t>Flail</t>
  </si>
  <si>
    <t>Flame Burst</t>
  </si>
  <si>
    <t>Flame Wheel</t>
  </si>
  <si>
    <t>Flamethrower</t>
  </si>
  <si>
    <t>Flare Blitz</t>
  </si>
  <si>
    <t>Flash Cannon</t>
  </si>
  <si>
    <t>Fleur Cannon</t>
  </si>
  <si>
    <t>Fling</t>
  </si>
  <si>
    <t>Flip Turn</t>
  </si>
  <si>
    <t>Floaty Fall</t>
  </si>
  <si>
    <t>Fly</t>
  </si>
  <si>
    <t>Flying Press</t>
  </si>
  <si>
    <t>Focus Blast</t>
  </si>
  <si>
    <t>Focus Punch</t>
  </si>
  <si>
    <t>Force Palm</t>
  </si>
  <si>
    <t>Foul Play</t>
  </si>
  <si>
    <t>Freeze Shock</t>
  </si>
  <si>
    <t>Freeze-Dry</t>
  </si>
  <si>
    <t>Freezing Glare</t>
  </si>
  <si>
    <t>Freezy Frost</t>
  </si>
  <si>
    <t>Frenzy Plant</t>
  </si>
  <si>
    <t>Frost Breath</t>
  </si>
  <si>
    <t>Frustration</t>
  </si>
  <si>
    <t>Fury Cutter</t>
  </si>
  <si>
    <t>Fury Swipes</t>
  </si>
  <si>
    <t>Fusion Bolt</t>
  </si>
  <si>
    <t>Fusion Flare</t>
  </si>
  <si>
    <t>Future Sight</t>
  </si>
  <si>
    <t>Gear Grind</t>
  </si>
  <si>
    <t>Genesis Supernova</t>
  </si>
  <si>
    <t>Giga Drain</t>
  </si>
  <si>
    <t>Giga Impact</t>
  </si>
  <si>
    <t>Glacial Lance</t>
  </si>
  <si>
    <t>Glaciate</t>
  </si>
  <si>
    <t>Glitzy Glow</t>
  </si>
  <si>
    <t>Grass Knot</t>
  </si>
  <si>
    <t>Grass Pledge</t>
  </si>
  <si>
    <t>Grassy Glide</t>
  </si>
  <si>
    <t>Grav Apple</t>
  </si>
  <si>
    <t>Guardian of Alola</t>
  </si>
  <si>
    <t>Guillotine</t>
  </si>
  <si>
    <t>Gunk Shot</t>
  </si>
  <si>
    <t>Gust</t>
  </si>
  <si>
    <t>Gyro Ball</t>
  </si>
  <si>
    <t>Hammer Arm</t>
  </si>
  <si>
    <t>Head Charge</t>
  </si>
  <si>
    <t>Head Smash</t>
  </si>
  <si>
    <t>Headbutt</t>
  </si>
  <si>
    <t>Headlong Rush</t>
  </si>
  <si>
    <t>Heart Stamp</t>
  </si>
  <si>
    <t>Heat Crash</t>
  </si>
  <si>
    <t>Heat Wave</t>
  </si>
  <si>
    <t>Heavy Slam</t>
  </si>
  <si>
    <t>Hex</t>
  </si>
  <si>
    <t>Hidden Power</t>
  </si>
  <si>
    <t>High Horsepower</t>
  </si>
  <si>
    <t>High Jump Kick</t>
  </si>
  <si>
    <t>Hold Back</t>
  </si>
  <si>
    <t>Horn Drill</t>
  </si>
  <si>
    <t>Horn Leech</t>
  </si>
  <si>
    <t>Hurricane</t>
  </si>
  <si>
    <t>Hydro Cannon</t>
  </si>
  <si>
    <t>Hydro Pump</t>
  </si>
  <si>
    <t>Hyper Beam</t>
  </si>
  <si>
    <t>Hyper Fang</t>
  </si>
  <si>
    <t>Hyper Voice</t>
  </si>
  <si>
    <t>Hyperspace Fury</t>
  </si>
  <si>
    <t>Hyperspace Hole</t>
  </si>
  <si>
    <t>Ice Ball</t>
  </si>
  <si>
    <t>Ice Beam</t>
  </si>
  <si>
    <t>Ice Burn</t>
  </si>
  <si>
    <t>Ice Hammer</t>
  </si>
  <si>
    <t>Ice Punch</t>
  </si>
  <si>
    <t>Ice Shard</t>
  </si>
  <si>
    <t>Icicle Crash</t>
  </si>
  <si>
    <t>Icicle Spear</t>
  </si>
  <si>
    <t>Icy Wind</t>
  </si>
  <si>
    <t>Incinerate</t>
  </si>
  <si>
    <t>Infernal Parade</t>
  </si>
  <si>
    <t>Inferno</t>
  </si>
  <si>
    <t>Infestation</t>
  </si>
  <si>
    <t>Iron Head</t>
  </si>
  <si>
    <t>Iron Tail</t>
  </si>
  <si>
    <t>Jaw Lock</t>
  </si>
  <si>
    <t>Judgment</t>
  </si>
  <si>
    <t>Jump Kick</t>
  </si>
  <si>
    <t>Karate Chop</t>
  </si>
  <si>
    <t>Knock Off</t>
  </si>
  <si>
    <t>Land’s Wrath</t>
  </si>
  <si>
    <t>Lash Out</t>
  </si>
  <si>
    <t>Last Resort</t>
  </si>
  <si>
    <t>Lava Plume</t>
  </si>
  <si>
    <t>Leaf Blade</t>
  </si>
  <si>
    <t>Leaf Storm</t>
  </si>
  <si>
    <t>Leaf Tornado</t>
  </si>
  <si>
    <t>Leafage</t>
  </si>
  <si>
    <t>Leech Life</t>
  </si>
  <si>
    <t>Let’s Snuggle Forever</t>
  </si>
  <si>
    <t>Lick</t>
  </si>
  <si>
    <t>Light of Ruin</t>
  </si>
  <si>
    <t>Light That Burns the Sky</t>
  </si>
  <si>
    <t>Low Kick</t>
  </si>
  <si>
    <t>Low Sweep</t>
  </si>
  <si>
    <t>Lunge</t>
  </si>
  <si>
    <t>Luster Purge</t>
  </si>
  <si>
    <t>Mach Punch</t>
  </si>
  <si>
    <t>Magma Storm</t>
  </si>
  <si>
    <t>Magnet Bomb</t>
  </si>
  <si>
    <t>Magnitude</t>
  </si>
  <si>
    <t>Malicious Moonsault</t>
  </si>
  <si>
    <t>Max Airstream</t>
  </si>
  <si>
    <t>Max Flare</t>
  </si>
  <si>
    <t>Max Flutterby</t>
  </si>
  <si>
    <t>Max Hailstorm</t>
  </si>
  <si>
    <t>Max Knuckle</t>
  </si>
  <si>
    <t>Max Lightning</t>
  </si>
  <si>
    <t>Max Mindstorm</t>
  </si>
  <si>
    <t>Max Ooze</t>
  </si>
  <si>
    <t>Max Phantasm</t>
  </si>
  <si>
    <t>Max Quake</t>
  </si>
  <si>
    <t>Max Starfall</t>
  </si>
  <si>
    <t>Max Steelspike</t>
  </si>
  <si>
    <t>Max Wyrmwind</t>
  </si>
  <si>
    <t>Mega Drain</t>
  </si>
  <si>
    <t>Mega Kick</t>
  </si>
  <si>
    <t>Mega Punch</t>
  </si>
  <si>
    <t>Menacing Moonraze Maelstrom</t>
  </si>
  <si>
    <t>Metal Burst</t>
  </si>
  <si>
    <t>Meteor Assault</t>
  </si>
  <si>
    <t>Meteor Beam</t>
  </si>
  <si>
    <t>Meteor Mash</t>
  </si>
  <si>
    <t>Mind Blown</t>
  </si>
  <si>
    <t>Mirror Coat</t>
  </si>
  <si>
    <t>Mirror Shot</t>
  </si>
  <si>
    <t>Mist Ball</t>
  </si>
  <si>
    <t>Misty Explosion</t>
  </si>
  <si>
    <t>Moonblast</t>
  </si>
  <si>
    <t>Moongeist Beam</t>
  </si>
  <si>
    <t>Mountain Gale</t>
  </si>
  <si>
    <t>Mud Bomb</t>
  </si>
  <si>
    <t>Mud Shot</t>
  </si>
  <si>
    <t>Muddy Water</t>
  </si>
  <si>
    <t>Multi-Attack</t>
  </si>
  <si>
    <t>Mystical Fire</t>
  </si>
  <si>
    <t>Mystical Power</t>
  </si>
  <si>
    <t>Natural Gift</t>
  </si>
  <si>
    <t>Nature’s Madness</t>
  </si>
  <si>
    <t>Needle Arm</t>
  </si>
  <si>
    <t>Night Daze</t>
  </si>
  <si>
    <t>Night Shade</t>
  </si>
  <si>
    <t>Night Slash</t>
  </si>
  <si>
    <t>Oblivion Wing</t>
  </si>
  <si>
    <t>Oceanic Operetta</t>
  </si>
  <si>
    <t>Octazooka</t>
  </si>
  <si>
    <t>Ominous Wind</t>
  </si>
  <si>
    <t>Origin Pulse</t>
  </si>
  <si>
    <t>Outrage</t>
  </si>
  <si>
    <t>Overdrive</t>
  </si>
  <si>
    <t>Overheat</t>
  </si>
  <si>
    <t>Parabolic Charge</t>
  </si>
  <si>
    <t>Pay Day</t>
  </si>
  <si>
    <t>Payback</t>
  </si>
  <si>
    <t>Peck</t>
  </si>
  <si>
    <t>Petal Blizzard</t>
  </si>
  <si>
    <t>Petal Dance</t>
  </si>
  <si>
    <t>Phantom Force</t>
  </si>
  <si>
    <t>Photon Geyser</t>
  </si>
  <si>
    <t>Pika Papow</t>
  </si>
  <si>
    <t>Pin Missile</t>
  </si>
  <si>
    <t>Plasma Fists</t>
  </si>
  <si>
    <t>Play Rough</t>
  </si>
  <si>
    <t>Pluck</t>
  </si>
  <si>
    <t>Poison Fang</t>
  </si>
  <si>
    <t>Poison Jab</t>
  </si>
  <si>
    <t>Poison Sting</t>
  </si>
  <si>
    <t>Poison Tail</t>
  </si>
  <si>
    <t>Pollen Puff</t>
  </si>
  <si>
    <t>Poltergeist</t>
  </si>
  <si>
    <t>Pound</t>
  </si>
  <si>
    <t>Powder Snow</t>
  </si>
  <si>
    <t>Power Gem</t>
  </si>
  <si>
    <t>Power Trip</t>
  </si>
  <si>
    <t>Power Whip</t>
  </si>
  <si>
    <t>Power-Up Punch</t>
  </si>
  <si>
    <t>Precipice Blades</t>
  </si>
  <si>
    <t>Present</t>
  </si>
  <si>
    <t>Prismatic Laser</t>
  </si>
  <si>
    <t>Psybeam</t>
  </si>
  <si>
    <t>Psychic Fangs</t>
  </si>
  <si>
    <t>Psycho Boost</t>
  </si>
  <si>
    <t>Psycho Cut</t>
  </si>
  <si>
    <t>Psyshield Bash</t>
  </si>
  <si>
    <t>Psyshock</t>
  </si>
  <si>
    <t>Psystrike</t>
  </si>
  <si>
    <t>Psywave</t>
  </si>
  <si>
    <t>Pulverizing Pancake</t>
  </si>
  <si>
    <t>Punishment</t>
  </si>
  <si>
    <t>Pursuit</t>
  </si>
  <si>
    <t>Pyro Ball</t>
  </si>
  <si>
    <t>Quick Attack</t>
  </si>
  <si>
    <t>Rage</t>
  </si>
  <si>
    <t>Raging Fury</t>
  </si>
  <si>
    <t>Razor Leaf</t>
  </si>
  <si>
    <t>Razor Shell</t>
  </si>
  <si>
    <t>Razor Wind</t>
  </si>
  <si>
    <t>Relic Song</t>
  </si>
  <si>
    <t>Retaliate</t>
  </si>
  <si>
    <t>Return</t>
  </si>
  <si>
    <t>Revelation Dance</t>
  </si>
  <si>
    <t>Revenge</t>
  </si>
  <si>
    <t>Reversal</t>
  </si>
  <si>
    <t>Rising Voltage</t>
  </si>
  <si>
    <t>Roar of Time</t>
  </si>
  <si>
    <t>Rock Blast</t>
  </si>
  <si>
    <t>Rock Climb</t>
  </si>
  <si>
    <t>Rock Slide</t>
  </si>
  <si>
    <t>Rock Smash</t>
  </si>
  <si>
    <t>Rock Throw</t>
  </si>
  <si>
    <t>Rock Tomb</t>
  </si>
  <si>
    <t>Rock Wrecker</t>
  </si>
  <si>
    <t>Rolling Kick</t>
  </si>
  <si>
    <t>Rollout</t>
  </si>
  <si>
    <t>Sacred Fire</t>
  </si>
  <si>
    <t>Sacred Sword</t>
  </si>
  <si>
    <t>Sand Tomb</t>
  </si>
  <si>
    <t>Sandsear Storm</t>
  </si>
  <si>
    <t>Sappy Seed</t>
  </si>
  <si>
    <t>Scald</t>
  </si>
  <si>
    <t>Scale Shot</t>
  </si>
  <si>
    <t>Scorching Sands</t>
  </si>
  <si>
    <t>Scratch</t>
  </si>
  <si>
    <t>Searing Shot</t>
  </si>
  <si>
    <t>Searing Sunraze Smash</t>
  </si>
  <si>
    <t>Secret Power</t>
  </si>
  <si>
    <t>Secret Sword</t>
  </si>
  <si>
    <t>Seed Bomb</t>
  </si>
  <si>
    <t>Seed Flare</t>
  </si>
  <si>
    <t>Seismic Toss</t>
  </si>
  <si>
    <t>Self-Destruct</t>
  </si>
  <si>
    <t>Shadow Ball</t>
  </si>
  <si>
    <t>Shadow Bone</t>
  </si>
  <si>
    <t>Shadow Force</t>
  </si>
  <si>
    <t>Shadow Punch</t>
  </si>
  <si>
    <t>Shadow Sneak</t>
  </si>
  <si>
    <t>Sheer Cold</t>
  </si>
  <si>
    <t>Shell Side Arm</t>
  </si>
  <si>
    <t>Shell Trap</t>
  </si>
  <si>
    <t>Shock Wave</t>
  </si>
  <si>
    <t>Signal Beam</t>
  </si>
  <si>
    <t>Silver Wind</t>
  </si>
  <si>
    <t>Sinister Arrow Raid</t>
  </si>
  <si>
    <t>Sizzly Slide</t>
  </si>
  <si>
    <t>Skitter Smack</t>
  </si>
  <si>
    <t>Skull Bash</t>
  </si>
  <si>
    <t>Sky Attack</t>
  </si>
  <si>
    <t>Sky Drop</t>
  </si>
  <si>
    <t>Sky Uppercut</t>
  </si>
  <si>
    <t>Slam</t>
  </si>
  <si>
    <t>Slash</t>
  </si>
  <si>
    <t>Sludge</t>
  </si>
  <si>
    <t>Sludge Bomb</t>
  </si>
  <si>
    <t>Sludge Wave</t>
  </si>
  <si>
    <t>Smack Down</t>
  </si>
  <si>
    <t>Smelling Salts</t>
  </si>
  <si>
    <t>Smog</t>
  </si>
  <si>
    <t>Snap Trap</t>
  </si>
  <si>
    <t>Snarl</t>
  </si>
  <si>
    <t>Snipe Shot</t>
  </si>
  <si>
    <t>Snore</t>
  </si>
  <si>
    <t>Solar Beam</t>
  </si>
  <si>
    <t>Solar Blade</t>
  </si>
  <si>
    <t>Sonic Boom</t>
  </si>
  <si>
    <t>Soul-Stealing 7-Star Strike</t>
  </si>
  <si>
    <t>Spacial Rend</t>
  </si>
  <si>
    <t>Sparkling Aria</t>
  </si>
  <si>
    <t>Sparkly Swirl</t>
  </si>
  <si>
    <t>Spectral Thief</t>
  </si>
  <si>
    <t>Spike Cannon</t>
  </si>
  <si>
    <t>Spirit Break</t>
  </si>
  <si>
    <t>Spirit Shackle</t>
  </si>
  <si>
    <t>Spit Up</t>
  </si>
  <si>
    <t>Splintered Stormshards</t>
  </si>
  <si>
    <t>Splishy Splash</t>
  </si>
  <si>
    <t>Springtide Storm</t>
  </si>
  <si>
    <t>Steam Eruption</t>
  </si>
  <si>
    <t>Steamroller</t>
  </si>
  <si>
    <t>Steel Beam</t>
  </si>
  <si>
    <t>Steel Roller</t>
  </si>
  <si>
    <t>Steel Wing</t>
  </si>
  <si>
    <t>Stoked Sparksurfer</t>
  </si>
  <si>
    <t>Stomp</t>
  </si>
  <si>
    <t>Stomping Tantrum</t>
  </si>
  <si>
    <t>Stone Axe</t>
  </si>
  <si>
    <t>Stone Edge</t>
  </si>
  <si>
    <t>Stored Power</t>
  </si>
  <si>
    <t>Storm Throw</t>
  </si>
  <si>
    <t>Strange Steam</t>
  </si>
  <si>
    <t>Strength</t>
  </si>
  <si>
    <t>Struggle</t>
  </si>
  <si>
    <t>Struggle Bug</t>
  </si>
  <si>
    <t>Submission</t>
  </si>
  <si>
    <t>Sucker Punch</t>
  </si>
  <si>
    <t>Sunsteel Strike</t>
  </si>
  <si>
    <t>Super Fang</t>
  </si>
  <si>
    <t>Superpower</t>
  </si>
  <si>
    <t>Surf</t>
  </si>
  <si>
    <t>Surging Strikes</t>
  </si>
  <si>
    <t>Swift</t>
  </si>
  <si>
    <t>Synchronoise</t>
  </si>
  <si>
    <t>Tackle</t>
  </si>
  <si>
    <t>Tail Slap</t>
  </si>
  <si>
    <t>Take Down</t>
  </si>
  <si>
    <t>Techno Blast</t>
  </si>
  <si>
    <t>Terrain Pulse</t>
  </si>
  <si>
    <t>Thief</t>
  </si>
  <si>
    <t>Thousand Arrows</t>
  </si>
  <si>
    <t>Thousand Waves</t>
  </si>
  <si>
    <t>Thrash</t>
  </si>
  <si>
    <t>Thunder</t>
  </si>
  <si>
    <t>Thunder Cage</t>
  </si>
  <si>
    <t>Thunder Fang</t>
  </si>
  <si>
    <t>Thunder Punch</t>
  </si>
  <si>
    <t>Thunder Shock</t>
  </si>
  <si>
    <t>Thunderbolt</t>
  </si>
  <si>
    <t>Thunderous Kick</t>
  </si>
  <si>
    <t>Tri Attack</t>
  </si>
  <si>
    <t>Triple Arrows</t>
  </si>
  <si>
    <t>Triple Axel</t>
  </si>
  <si>
    <t>Triple Kick</t>
  </si>
  <si>
    <t>Trop Kick</t>
  </si>
  <si>
    <t>Trump Card</t>
  </si>
  <si>
    <t>Twineedle</t>
  </si>
  <si>
    <t>Twister</t>
  </si>
  <si>
    <t>U-turn</t>
  </si>
  <si>
    <t>Uproar</t>
  </si>
  <si>
    <t>V-create</t>
  </si>
  <si>
    <t>Vacuum Wave</t>
  </si>
  <si>
    <t>Veevee Volley</t>
  </si>
  <si>
    <t>Venoshock</t>
  </si>
  <si>
    <t>Vine Whip</t>
  </si>
  <si>
    <t>Vise Grip</t>
  </si>
  <si>
    <t>Vital Throw</t>
  </si>
  <si>
    <t>Volt Switch</t>
  </si>
  <si>
    <t>Volt Tackle</t>
  </si>
  <si>
    <t>Wake-Up Slap</t>
  </si>
  <si>
    <t>Water Gun</t>
  </si>
  <si>
    <t>Water Pledge</t>
  </si>
  <si>
    <t>Water Shuriken</t>
  </si>
  <si>
    <t>Water Spout</t>
  </si>
  <si>
    <t>Wave Crash</t>
  </si>
  <si>
    <t>Weather Ball</t>
  </si>
  <si>
    <t>Wicked Blow</t>
  </si>
  <si>
    <t>Wild Charge</t>
  </si>
  <si>
    <t>Wildbolt Storm</t>
  </si>
  <si>
    <t>Wing Attack</t>
  </si>
  <si>
    <t>Wood Hammer</t>
  </si>
  <si>
    <t>Wrap</t>
  </si>
  <si>
    <t>Wring Out</t>
  </si>
  <si>
    <t>X-Scissor</t>
  </si>
  <si>
    <t>Zap Cannon</t>
  </si>
  <si>
    <t>Zen Headbutt</t>
  </si>
  <si>
    <t>Zing Zap</t>
  </si>
  <si>
    <t>Zippy Zap</t>
  </si>
  <si>
    <t>Move1Accuracy</t>
  </si>
  <si>
    <t>Move2Accuracy</t>
  </si>
  <si>
    <t>Move3Accuracy</t>
  </si>
  <si>
    <t>Move4Accuracy</t>
  </si>
  <si>
    <t>Incoming Worst Score</t>
  </si>
  <si>
    <t>Ratio</t>
  </si>
  <si>
    <t>Kabu</t>
  </si>
  <si>
    <t>Gym 3</t>
  </si>
  <si>
    <t>Ninetales</t>
  </si>
  <si>
    <t>Will-O-Wisp</t>
  </si>
  <si>
    <t>Centiskorch</t>
  </si>
  <si>
    <t>G-Max Centiferno</t>
  </si>
  <si>
    <t>Max Guard</t>
  </si>
  <si>
    <t>Hop</t>
  </si>
  <si>
    <t>Postwick</t>
  </si>
  <si>
    <t>Wooloo</t>
  </si>
  <si>
    <t>Grookey</t>
  </si>
  <si>
    <t>Route 2</t>
  </si>
  <si>
    <t>Rookidee</t>
  </si>
  <si>
    <t>Leer</t>
  </si>
  <si>
    <t>Motostoke</t>
  </si>
  <si>
    <t>Taunt</t>
  </si>
  <si>
    <t>Route 5</t>
  </si>
  <si>
    <t>Hits</t>
  </si>
  <si>
    <t>Defense Curl</t>
  </si>
  <si>
    <t>Screech</t>
  </si>
  <si>
    <t>Cramorant</t>
  </si>
  <si>
    <t>Silicobra</t>
  </si>
  <si>
    <t>Glare</t>
  </si>
  <si>
    <t>Toxel</t>
  </si>
  <si>
    <t>Tearful Look</t>
  </si>
  <si>
    <t>Thwackey</t>
  </si>
  <si>
    <t>Route 7</t>
  </si>
  <si>
    <t>Trevenant</t>
  </si>
  <si>
    <t>Confuse Ray</t>
  </si>
  <si>
    <t>Heatmor</t>
  </si>
  <si>
    <t>Snorlax</t>
  </si>
  <si>
    <t>Stockpile</t>
  </si>
  <si>
    <t>Boltund</t>
  </si>
  <si>
    <t>Rillaboom</t>
  </si>
  <si>
    <t>Circhester</t>
  </si>
  <si>
    <t>Dubwool</t>
  </si>
  <si>
    <t>Corviknight</t>
  </si>
  <si>
    <t>Scary Face</t>
  </si>
  <si>
    <t>Pincurchin</t>
  </si>
  <si>
    <t>Curse</t>
  </si>
  <si>
    <t>Bea</t>
  </si>
  <si>
    <t>Gym 4</t>
  </si>
  <si>
    <t>Hitmontop</t>
  </si>
  <si>
    <t>Pangoro</t>
  </si>
  <si>
    <t>Work Up</t>
  </si>
  <si>
    <t>Sirfetch'd</t>
  </si>
  <si>
    <t>Detect</t>
  </si>
  <si>
    <t>Machamp</t>
  </si>
  <si>
    <t>G-Max Chi Strike</t>
  </si>
  <si>
    <t>Hawlucha</t>
  </si>
  <si>
    <t>Grapploct</t>
  </si>
  <si>
    <t>Octolock</t>
  </si>
  <si>
    <t>Falinks</t>
  </si>
  <si>
    <t>No Retreat</t>
  </si>
  <si>
    <t>Bulk Up</t>
  </si>
  <si>
    <t>Cotton Guard</t>
  </si>
  <si>
    <t>Swagger</t>
  </si>
  <si>
    <t>Slumbering Weald</t>
  </si>
  <si>
    <t>Slumbering Weald (PG)</t>
  </si>
  <si>
    <t>Recover</t>
  </si>
  <si>
    <t>Light Screen</t>
  </si>
  <si>
    <t>Zamazenta</t>
  </si>
  <si>
    <t>Marnie</t>
  </si>
  <si>
    <t>Budew Drop Inn</t>
  </si>
  <si>
    <t>Toxicroak</t>
  </si>
  <si>
    <t>Scraggy</t>
  </si>
  <si>
    <t>Route 9</t>
  </si>
  <si>
    <t>Croagunk</t>
  </si>
  <si>
    <t>Liepard</t>
  </si>
  <si>
    <t>Nasty Plot</t>
  </si>
  <si>
    <t>Torment</t>
  </si>
  <si>
    <t>Scrafty</t>
  </si>
  <si>
    <t>Morpeko</t>
  </si>
  <si>
    <t>Toxic</t>
  </si>
  <si>
    <t>Grimmsnarl</t>
  </si>
  <si>
    <t>G-Max Snooze</t>
  </si>
  <si>
    <t>Spikemuth</t>
  </si>
  <si>
    <t>Opal</t>
  </si>
  <si>
    <t>Gym 5</t>
  </si>
  <si>
    <t>Weezing</t>
  </si>
  <si>
    <t>Gym 6</t>
  </si>
  <si>
    <t>Gym 7</t>
  </si>
  <si>
    <t>Gym 8</t>
  </si>
  <si>
    <t>Mawile</t>
  </si>
  <si>
    <t>Togekiss</t>
  </si>
  <si>
    <t>Iron Defense</t>
  </si>
  <si>
    <t>G-Max Finale</t>
  </si>
  <si>
    <t>Gordie</t>
  </si>
  <si>
    <t>Barbaracle</t>
  </si>
  <si>
    <t>Shuckle</t>
  </si>
  <si>
    <t>Power Split</t>
  </si>
  <si>
    <t>Stonjourner</t>
  </si>
  <si>
    <t>Stealth Rock</t>
  </si>
  <si>
    <t>Wonder Room</t>
  </si>
  <si>
    <t>Coalossal</t>
  </si>
  <si>
    <t>G-Max Volcalith</t>
  </si>
  <si>
    <t>Piers</t>
  </si>
  <si>
    <t>Sand Attack</t>
  </si>
  <si>
    <t>Malamar</t>
  </si>
  <si>
    <t>Obstagoon</t>
  </si>
  <si>
    <t>Obstruct</t>
  </si>
  <si>
    <t>Skuntank</t>
  </si>
  <si>
    <t>Raihan</t>
  </si>
  <si>
    <t>Gigalith</t>
  </si>
  <si>
    <t>Flygon</t>
  </si>
  <si>
    <t>Sandaconda</t>
  </si>
  <si>
    <t>Protect</t>
  </si>
  <si>
    <t>G-Max Depletion</t>
  </si>
  <si>
    <t>Torkoal</t>
  </si>
  <si>
    <t>Yawn</t>
  </si>
  <si>
    <t>Goodra</t>
  </si>
  <si>
    <t>Rain Dance</t>
  </si>
  <si>
    <t>Turtonator</t>
  </si>
  <si>
    <t>Sunny Day</t>
  </si>
  <si>
    <t>Sandstorm</t>
  </si>
  <si>
    <t>Leon</t>
  </si>
  <si>
    <t>Aegislash</t>
  </si>
  <si>
    <t>King's Shield</t>
  </si>
  <si>
    <t>Dragapult</t>
  </si>
  <si>
    <t>Haxorus</t>
  </si>
  <si>
    <t>Mr. Rime</t>
  </si>
  <si>
    <t>Teeter Dance</t>
  </si>
  <si>
    <t>Inteleon</t>
  </si>
  <si>
    <t>Charizard</t>
  </si>
  <si>
    <t>G-Max Wildfire</t>
  </si>
  <si>
    <t>Rose</t>
  </si>
  <si>
    <t>Energy Plant</t>
  </si>
  <si>
    <t>Escavalier</t>
  </si>
  <si>
    <t>Ferrothorn</t>
  </si>
  <si>
    <t>Perrserker</t>
  </si>
  <si>
    <t>Klinklang</t>
  </si>
  <si>
    <t>Shift Gear</t>
  </si>
  <si>
    <t>Copperajah</t>
  </si>
  <si>
    <t>G-Max Steelsurge</t>
  </si>
  <si>
    <t>Suggested Pokemon:</t>
  </si>
  <si>
    <t>Who are you battling?</t>
  </si>
  <si>
    <t>Which battle is it?</t>
  </si>
  <si>
    <t>(Note: Be sure to select the correct value for all 3 questions above)</t>
  </si>
  <si>
    <t>Oleana</t>
  </si>
  <si>
    <t>Rose Tower</t>
  </si>
  <si>
    <t>Froslass</t>
  </si>
  <si>
    <t>Double Team</t>
  </si>
  <si>
    <t>Tsareena</t>
  </si>
  <si>
    <t>Attract</t>
  </si>
  <si>
    <t>Salazzle</t>
  </si>
  <si>
    <t>Poison Gas</t>
  </si>
  <si>
    <t>Milotic</t>
  </si>
  <si>
    <t>Safeguard</t>
  </si>
  <si>
    <t>Garbodor</t>
  </si>
  <si>
    <t>G-Max Malodor</t>
  </si>
  <si>
    <t>Duraludon</t>
  </si>
  <si>
    <t>Arcanine</t>
  </si>
  <si>
    <t>Alcremie</t>
  </si>
  <si>
    <t>BattleOrder</t>
  </si>
  <si>
    <t>IncomingMoveType</t>
  </si>
  <si>
    <t>Which opponent is out?</t>
  </si>
  <si>
    <t>Level</t>
  </si>
  <si>
    <t>Verified</t>
  </si>
  <si>
    <t>Corvisquire</t>
  </si>
  <si>
    <t>OpponentLevel</t>
  </si>
  <si>
    <t>ApproxOpponentATK</t>
  </si>
  <si>
    <t>ApproxATK</t>
  </si>
  <si>
    <t>ApproxDEF</t>
  </si>
  <si>
    <t>ApproxSPA</t>
  </si>
  <si>
    <t>ApproxSPD</t>
  </si>
  <si>
    <t>Ability</t>
  </si>
  <si>
    <t>AbilityNotes</t>
  </si>
  <si>
    <t>Intimidate</t>
  </si>
  <si>
    <t>Verified - Trainer specific</t>
  </si>
  <si>
    <t>Iron Fist</t>
  </si>
  <si>
    <t>Scrappy</t>
  </si>
  <si>
    <t>Guts</t>
  </si>
  <si>
    <t>Tough Claws</t>
  </si>
  <si>
    <t>Sturdy</t>
  </si>
  <si>
    <t>Species default</t>
  </si>
  <si>
    <t>Power Spot</t>
  </si>
  <si>
    <t>Species only ability</t>
  </si>
  <si>
    <t>Steam Engine</t>
  </si>
  <si>
    <t>Fluffy</t>
  </si>
  <si>
    <t>Overgrow</t>
  </si>
  <si>
    <t>Starter ability</t>
  </si>
  <si>
    <t>Flash Fire</t>
  </si>
  <si>
    <t>Stance Change</t>
  </si>
  <si>
    <t>Clear Body</t>
  </si>
  <si>
    <t>Mold Breaker</t>
  </si>
  <si>
    <t>Tangled Feet</t>
  </si>
  <si>
    <t>Torrent</t>
  </si>
  <si>
    <t>Blaze</t>
  </si>
  <si>
    <t>Dry Skin</t>
  </si>
  <si>
    <t>Moxie</t>
  </si>
  <si>
    <t>Cotton Down</t>
  </si>
  <si>
    <t>Swift Swim</t>
  </si>
  <si>
    <t>Snow Cloak</t>
  </si>
  <si>
    <t>Queenly Majesty</t>
  </si>
  <si>
    <t>Corrosion</t>
  </si>
  <si>
    <t>Competitive</t>
  </si>
  <si>
    <t>Stench</t>
  </si>
  <si>
    <t>Levitate</t>
  </si>
  <si>
    <t>Verified - Galarian Weezing</t>
  </si>
  <si>
    <t>Serene Grace</t>
  </si>
  <si>
    <t>Sweet Veil</t>
  </si>
  <si>
    <t>Contrary</t>
  </si>
  <si>
    <t>Reckless</t>
  </si>
  <si>
    <t>Aftermath</t>
  </si>
  <si>
    <t>Sand Stream</t>
  </si>
  <si>
    <t>Sand Spit</t>
  </si>
  <si>
    <t>Light Metal</t>
  </si>
  <si>
    <t>Swarm</t>
  </si>
  <si>
    <t>Iron Barbs</t>
  </si>
  <si>
    <t>Battle Armor</t>
  </si>
  <si>
    <t>Plus</t>
  </si>
  <si>
    <t>Sheer Force</t>
  </si>
  <si>
    <t>Unburden</t>
  </si>
  <si>
    <t>Limber</t>
  </si>
  <si>
    <t>Keen Eye</t>
  </si>
  <si>
    <t>Hunger Switch</t>
  </si>
  <si>
    <t>Emergency Exit</t>
  </si>
  <si>
    <t>Drizzle</t>
  </si>
  <si>
    <t>Drought</t>
  </si>
  <si>
    <t>Sap Sipper</t>
  </si>
  <si>
    <t>Shell Armor</t>
  </si>
  <si>
    <t>Prankster</t>
  </si>
  <si>
    <t>Gulp Missile</t>
  </si>
  <si>
    <t>Rattled</t>
  </si>
  <si>
    <t>Pressure</t>
  </si>
  <si>
    <t>Lightning Rod</t>
  </si>
  <si>
    <t>Immunity</t>
  </si>
  <si>
    <t>Natural Cure</t>
  </si>
  <si>
    <t>Strong Jaw</t>
  </si>
  <si>
    <t>Dauntless Shield</t>
  </si>
  <si>
    <t>Effect</t>
  </si>
  <si>
    <t>TargetType</t>
  </si>
  <si>
    <t>Modifier</t>
  </si>
  <si>
    <t>Immune to Ground moves</t>
  </si>
  <si>
    <t>Immune to Fire moves</t>
  </si>
  <si>
    <t>Water Absorb</t>
  </si>
  <si>
    <t>Immune to Water moves</t>
  </si>
  <si>
    <t>Volt Absorb</t>
  </si>
  <si>
    <t>Immune to Electric moves</t>
  </si>
  <si>
    <t>Motor Drive</t>
  </si>
  <si>
    <t>Storm Drain</t>
  </si>
  <si>
    <t>Immune to Grass moves</t>
  </si>
  <si>
    <t>Thick Fat</t>
  </si>
  <si>
    <t>Reduction</t>
  </si>
  <si>
    <t>Fire damage x0.5</t>
  </si>
  <si>
    <t>Ice damage x0.5</t>
  </si>
  <si>
    <t>Heatproof</t>
  </si>
  <si>
    <t>Filter</t>
  </si>
  <si>
    <t>SuperEffective</t>
  </si>
  <si>
    <t>Super-effective damage x0.75</t>
  </si>
  <si>
    <t>Solid Rock</t>
  </si>
  <si>
    <t>Prism Armor</t>
  </si>
  <si>
    <t>Adaptability</t>
  </si>
  <si>
    <t>STABBoost</t>
  </si>
  <si>
    <t>STAB</t>
  </si>
  <si>
    <t>STAB is 2x instead of 1.5x</t>
  </si>
  <si>
    <t>Huge Power</t>
  </si>
  <si>
    <t>AttackBoost</t>
  </si>
  <si>
    <t>Physical attack x2</t>
  </si>
  <si>
    <t>Pure Power</t>
  </si>
  <si>
    <t>Technician</t>
  </si>
  <si>
    <t>PowerBoost</t>
  </si>
  <si>
    <t>LowPower</t>
  </si>
  <si>
    <t>Moves with BP ≤60 get x1.5</t>
  </si>
  <si>
    <t>TeamAbility</t>
  </si>
  <si>
    <t>OpponentAbility</t>
  </si>
  <si>
    <t>IncomingMod1</t>
  </si>
  <si>
    <t>IncomingMod2</t>
  </si>
  <si>
    <t>IncomingMod3</t>
  </si>
  <si>
    <t>IncomingMod4</t>
  </si>
  <si>
    <t>OutgoingSTABMod</t>
  </si>
  <si>
    <t>OutgoingAtkMod</t>
  </si>
  <si>
    <t>TechMod1</t>
  </si>
  <si>
    <t>TechMod2</t>
  </si>
  <si>
    <t>TechMod3</t>
  </si>
  <si>
    <t>TechMod4</t>
  </si>
  <si>
    <t>Move1Type2</t>
  </si>
  <si>
    <t>Move2Type3</t>
  </si>
  <si>
    <t>Move3Type4</t>
  </si>
  <si>
    <t>Move4Type5</t>
  </si>
  <si>
    <t>Move1Eff</t>
  </si>
  <si>
    <t>Move2Eff</t>
  </si>
  <si>
    <t>Move3Eff</t>
  </si>
  <si>
    <t>Move4Eff</t>
  </si>
  <si>
    <t>Move1SuperEff</t>
  </si>
  <si>
    <t>Move2SuperEff</t>
  </si>
  <si>
    <t>Move3SuperEff</t>
  </si>
  <si>
    <t>Move4SuperEff</t>
  </si>
  <si>
    <t>IncomingMod1Final</t>
  </si>
  <si>
    <t>IncomingMod2Final</t>
  </si>
  <si>
    <t>IncomingMod3Final</t>
  </si>
  <si>
    <t>IncomingMod4Final</t>
  </si>
  <si>
    <t>OutMod1</t>
  </si>
  <si>
    <t>OutMod2</t>
  </si>
  <si>
    <t>OutMod3</t>
  </si>
  <si>
    <t>OutMod4</t>
  </si>
  <si>
    <t>HasAbilityImmunity</t>
  </si>
  <si>
    <t>HasTypeImmunity</t>
  </si>
  <si>
    <t>HasLowIncoming</t>
  </si>
  <si>
    <t>HasHighOffense</t>
  </si>
  <si>
    <t>WhyCode</t>
  </si>
  <si>
    <t>Why?</t>
  </si>
  <si>
    <t>Steadfast</t>
  </si>
  <si>
    <t>Doublade</t>
  </si>
  <si>
    <t>No Guard</t>
  </si>
  <si>
    <t>Bisharp</t>
  </si>
  <si>
    <t>Defiant</t>
  </si>
  <si>
    <t>Energy Plant (PG)</t>
  </si>
  <si>
    <t>Matchup Strength:</t>
  </si>
  <si>
    <t>Comfortable</t>
  </si>
  <si>
    <t>Favorable</t>
  </si>
  <si>
    <t>Even</t>
  </si>
  <si>
    <t>Challenging</t>
  </si>
  <si>
    <t>OffAdvRatio</t>
  </si>
  <si>
    <t>DefAdvRatio</t>
  </si>
  <si>
    <t>Sordward</t>
  </si>
  <si>
    <t>BestMoveSuperEff</t>
  </si>
  <si>
    <t>HasSTABSuperEff</t>
  </si>
  <si>
    <t>Bede</t>
  </si>
  <si>
    <t>Solosis</t>
  </si>
  <si>
    <t>Magic Guard</t>
  </si>
  <si>
    <t>Gothita</t>
  </si>
  <si>
    <t>Tickle</t>
  </si>
  <si>
    <t>Frisk</t>
  </si>
  <si>
    <t>Hatenna</t>
  </si>
  <si>
    <t>Healer</t>
  </si>
  <si>
    <t>Galar Mine No. 2</t>
  </si>
  <si>
    <t>Ponyta</t>
  </si>
  <si>
    <t>Pastel Veil</t>
  </si>
  <si>
    <t>Duosion</t>
  </si>
  <si>
    <t>Reflect</t>
  </si>
  <si>
    <t>Gothorita</t>
  </si>
  <si>
    <t>Fake Tears</t>
  </si>
  <si>
    <t>Hattrem</t>
  </si>
  <si>
    <t>Gardevoir</t>
  </si>
  <si>
    <t>Calm Mind</t>
  </si>
  <si>
    <t>Wish</t>
  </si>
  <si>
    <t>Synchronize</t>
  </si>
  <si>
    <t>Rapidash</t>
  </si>
  <si>
    <t>Hatterene</t>
  </si>
  <si>
    <t>G-Max Smite</t>
  </si>
  <si>
    <t>Magic Bounce</t>
  </si>
  <si>
    <t>Click cell B2, B3, and B4 in order and choose an answer for each.</t>
  </si>
  <si>
    <t>HasOverwhelmingOffense</t>
  </si>
  <si>
    <t>AnyOverwhelming</t>
  </si>
  <si>
    <t>BestOverwhelmingRatio</t>
  </si>
  <si>
    <t>ImmuneToType</t>
  </si>
  <si>
    <t>ImmunityHelps</t>
  </si>
  <si>
    <t>ImmuneMoveType</t>
  </si>
  <si>
    <t>Column1</t>
  </si>
  <si>
    <t>Column2</t>
  </si>
  <si>
    <t>Column3</t>
  </si>
  <si>
    <t>Column4</t>
  </si>
  <si>
    <t>Column5</t>
  </si>
  <si>
    <t>Column6</t>
  </si>
  <si>
    <t>Held Item</t>
  </si>
  <si>
    <t>Incoming Multiplier</t>
  </si>
  <si>
    <t>Hammerlocke Gym</t>
  </si>
  <si>
    <t>Supersonic</t>
  </si>
  <si>
    <t>Sliggoo</t>
  </si>
  <si>
    <t>Disable</t>
  </si>
  <si>
    <t>Abomasnow</t>
  </si>
  <si>
    <t>Ingrain</t>
  </si>
  <si>
    <t>Aurora Veil</t>
  </si>
  <si>
    <t>Snow Warning</t>
  </si>
  <si>
    <t>Hakamo-o</t>
  </si>
  <si>
    <t>Noble Roar</t>
  </si>
  <si>
    <t>Bulletproof</t>
  </si>
  <si>
    <t>HT Sebastian</t>
  </si>
  <si>
    <t>HT Camilla</t>
  </si>
  <si>
    <t>HT Aria</t>
  </si>
  <si>
    <t>BT Annette</t>
  </si>
  <si>
    <t>Ballonlea Gym</t>
  </si>
  <si>
    <t>Spritzee</t>
  </si>
  <si>
    <t>Sweet Kiss</t>
  </si>
  <si>
    <t>Slurpuff</t>
  </si>
  <si>
    <t>Cotton Spore</t>
  </si>
  <si>
    <t>BT Teresa</t>
  </si>
  <si>
    <t>Swirlix</t>
  </si>
  <si>
    <t>Aromatisse</t>
  </si>
  <si>
    <t>BT Theodora</t>
  </si>
  <si>
    <t>Morgrem</t>
  </si>
  <si>
    <t>Flatter</t>
  </si>
  <si>
    <t>Charm</t>
  </si>
  <si>
    <t>ApproxSPE</t>
  </si>
  <si>
    <t>AttackReduction</t>
  </si>
  <si>
    <t>Reduces opponent ATK by 1 stage (×2/3) for incoming Physical moves. Singles matchup evaluation only.</t>
  </si>
  <si>
    <t>Eternatus</t>
  </si>
  <si>
    <t>Cosmic Power</t>
  </si>
  <si>
    <t>Zacian</t>
  </si>
  <si>
    <t>Intrepid Sword</t>
  </si>
  <si>
    <t>Slumbering Weald (PG1)</t>
  </si>
  <si>
    <t>Slumbering Weald (PG2)</t>
  </si>
  <si>
    <t>Ballonlea Gym (PG)</t>
  </si>
  <si>
    <t>Anticipation</t>
  </si>
  <si>
    <t>Shell Smash</t>
  </si>
  <si>
    <t>Column7</t>
  </si>
  <si>
    <t>ApproxHP</t>
  </si>
  <si>
    <t>BestMoveHPRatio</t>
  </si>
  <si>
    <t>TeamMovesSecond</t>
  </si>
  <si>
    <t>IncomingHPRatio</t>
  </si>
  <si>
    <t>LikelySurvivesFirstHit</t>
  </si>
  <si>
    <t>SurvivalOHKO</t>
  </si>
  <si>
    <t>DmaxNote</t>
  </si>
  <si>
    <t>OHKONote</t>
  </si>
  <si>
    <t>WarningNote</t>
  </si>
  <si>
    <t>MechanicsNote</t>
  </si>
  <si>
    <t>Acupressure</t>
  </si>
  <si>
    <t>After You</t>
  </si>
  <si>
    <t>Ally Switch</t>
  </si>
  <si>
    <t>Amnesia</t>
  </si>
  <si>
    <t>Aromatherapy</t>
  </si>
  <si>
    <t>Autotomize</t>
  </si>
  <si>
    <t>Baneful Bunker</t>
  </si>
  <si>
    <t>Baton Pass</t>
  </si>
  <si>
    <t>Belly Drum</t>
  </si>
  <si>
    <t>Block</t>
  </si>
  <si>
    <t>Coaching</t>
  </si>
  <si>
    <t>Coil</t>
  </si>
  <si>
    <t>Confide</t>
  </si>
  <si>
    <t>Copycat</t>
  </si>
  <si>
    <t>Corrosive Gas</t>
  </si>
  <si>
    <t>Court Change</t>
  </si>
  <si>
    <t>Crafty Shield</t>
  </si>
  <si>
    <t>Defend Order</t>
  </si>
  <si>
    <t>Destiny Bond</t>
  </si>
  <si>
    <t>Dragon Dance</t>
  </si>
  <si>
    <t>Encore</t>
  </si>
  <si>
    <t>Endure</t>
  </si>
  <si>
    <t>Entrainment</t>
  </si>
  <si>
    <t>Feather Dance</t>
  </si>
  <si>
    <t>Forest's Curse</t>
  </si>
  <si>
    <t>Gastro Acid</t>
  </si>
  <si>
    <t>Gravity</t>
  </si>
  <si>
    <t>Growth</t>
  </si>
  <si>
    <t>Grudge</t>
  </si>
  <si>
    <t>Guard Split</t>
  </si>
  <si>
    <t>Guard Swap</t>
  </si>
  <si>
    <t>Hail</t>
  </si>
  <si>
    <t>Harden</t>
  </si>
  <si>
    <t>Haze</t>
  </si>
  <si>
    <t>Heal Bell</t>
  </si>
  <si>
    <t>Heal Pulse</t>
  </si>
  <si>
    <t>Hone Claws</t>
  </si>
  <si>
    <t>Howl</t>
  </si>
  <si>
    <t>Hypnosis</t>
  </si>
  <si>
    <t>Imprison</t>
  </si>
  <si>
    <t>Laser Focus</t>
  </si>
  <si>
    <t>Lock-On</t>
  </si>
  <si>
    <t>Lovely Kiss</t>
  </si>
  <si>
    <t>Magic Powder</t>
  </si>
  <si>
    <t>Magnet Rise</t>
  </si>
  <si>
    <t>Mean Look</t>
  </si>
  <si>
    <t>Memento</t>
  </si>
  <si>
    <t>Metal Sound</t>
  </si>
  <si>
    <t>Metronome</t>
  </si>
  <si>
    <t>Milk Drink</t>
  </si>
  <si>
    <t>Mind Reader</t>
  </si>
  <si>
    <t>Minimize</t>
  </si>
  <si>
    <t>Mist</t>
  </si>
  <si>
    <t>Misty Terrain</t>
  </si>
  <si>
    <t>Moonlight</t>
  </si>
  <si>
    <t>Morning Sun</t>
  </si>
  <si>
    <t>Pain Split</t>
  </si>
  <si>
    <t>Parting Shot</t>
  </si>
  <si>
    <t>Perish Song</t>
  </si>
  <si>
    <t>Play Nice</t>
  </si>
  <si>
    <t>Poison Powder</t>
  </si>
  <si>
    <t>Power Swap</t>
  </si>
  <si>
    <t>Power Trick</t>
  </si>
  <si>
    <t>Psych Up</t>
  </si>
  <si>
    <t>Psychic Terrain</t>
  </si>
  <si>
    <t>Quash</t>
  </si>
  <si>
    <t>Quick Guard</t>
  </si>
  <si>
    <t>Rest</t>
  </si>
  <si>
    <t>Simple Beam</t>
  </si>
  <si>
    <t>Sing</t>
  </si>
  <si>
    <t>Sketch</t>
  </si>
  <si>
    <t>Slack Off</t>
  </si>
  <si>
    <t>Sleep Powder</t>
  </si>
  <si>
    <t>Smokescreen</t>
  </si>
  <si>
    <t>Soak</t>
  </si>
  <si>
    <t>Soft-Boiled</t>
  </si>
  <si>
    <t>Spikes</t>
  </si>
  <si>
    <t>Spite</t>
  </si>
  <si>
    <t>Splash</t>
  </si>
  <si>
    <t>Sticky Web</t>
  </si>
  <si>
    <t>Strength Sap</t>
  </si>
  <si>
    <t>String Shot</t>
  </si>
  <si>
    <t>Stun Spore</t>
  </si>
  <si>
    <t>Substitute</t>
  </si>
  <si>
    <t>Sweet Scent</t>
  </si>
  <si>
    <t>Tail Whip</t>
  </si>
  <si>
    <t>Teatime</t>
  </si>
  <si>
    <t>Teleport</t>
  </si>
  <si>
    <t>Thunder Wave</t>
  </si>
  <si>
    <t>Toxic Spikes</t>
  </si>
  <si>
    <t>Wide Guard</t>
  </si>
  <si>
    <t>Withdraw</t>
  </si>
  <si>
    <t>Worry Seed</t>
  </si>
  <si>
    <t>Acid Armor</t>
  </si>
  <si>
    <t>Clangorous Soul</t>
  </si>
  <si>
    <t>Conversion</t>
  </si>
  <si>
    <t>Conversion 2</t>
  </si>
  <si>
    <t>Dark Void</t>
  </si>
  <si>
    <t>Decorate</t>
  </si>
  <si>
    <t>Electrify</t>
  </si>
  <si>
    <t>Fairy Lock</t>
  </si>
  <si>
    <t>Floral Healing</t>
  </si>
  <si>
    <t>Flower Shield</t>
  </si>
  <si>
    <t>Focus Energy</t>
  </si>
  <si>
    <t>Gear Up</t>
  </si>
  <si>
    <t>Grassy Terrain</t>
  </si>
  <si>
    <t>Healing Wish</t>
  </si>
  <si>
    <t>Instruct</t>
  </si>
  <si>
    <t>Jungle Healing</t>
  </si>
  <si>
    <t>Kinesis</t>
  </si>
  <si>
    <t>Leech Seed</t>
  </si>
  <si>
    <t>Life Dew</t>
  </si>
  <si>
    <t>Lunar Dance</t>
  </si>
  <si>
    <t>Magic Room</t>
  </si>
  <si>
    <t>Mat Block</t>
  </si>
  <si>
    <t>Mimic</t>
  </si>
  <si>
    <t>Psycho Shift</t>
  </si>
  <si>
    <t>Purify</t>
  </si>
  <si>
    <t>Quiver Dance</t>
  </si>
  <si>
    <t>Rage Powder</t>
  </si>
  <si>
    <t>Reflect Type</t>
  </si>
  <si>
    <t>Rock Polish</t>
  </si>
  <si>
    <t>Shore Up</t>
  </si>
  <si>
    <t>Skill Swap</t>
  </si>
  <si>
    <t>Sleep Talk</t>
  </si>
  <si>
    <t>Speed Swap</t>
  </si>
  <si>
    <t>Spore</t>
  </si>
  <si>
    <t>Stuff Cheeks</t>
  </si>
  <si>
    <t>Swallow</t>
  </si>
  <si>
    <t>Switcheroo</t>
  </si>
  <si>
    <t>Synthesis</t>
  </si>
  <si>
    <t>Tar Shot</t>
  </si>
  <si>
    <t>Topsy-Turvy</t>
  </si>
  <si>
    <t>Toxic Thread</t>
  </si>
  <si>
    <t>Transform</t>
  </si>
  <si>
    <t>Trick-or-Treat</t>
  </si>
  <si>
    <t>Whirlwind</t>
  </si>
  <si>
    <t>MakesContact</t>
  </si>
  <si>
    <t>Priority</t>
  </si>
  <si>
    <t>DamageMethod</t>
  </si>
  <si>
    <t>MechanicsNotes</t>
  </si>
  <si>
    <t>Standard</t>
  </si>
  <si>
    <t>Variable</t>
  </si>
  <si>
    <t>Fixed</t>
  </si>
  <si>
    <t>UseDEF</t>
  </si>
  <si>
    <t>OHKO</t>
  </si>
  <si>
    <t>Custom</t>
  </si>
  <si>
    <t>TargetATK</t>
  </si>
  <si>
    <t>TargetDEFasSPD</t>
  </si>
  <si>
    <t>Move1DmgMethod</t>
  </si>
  <si>
    <t>Move2DmgMethod</t>
  </si>
  <si>
    <t>Move3DmgMethod</t>
  </si>
  <si>
    <t>Move4DmgMethod</t>
  </si>
  <si>
    <t>OppMove1DmgMethod</t>
  </si>
  <si>
    <t>OppMove2DmgMethod</t>
  </si>
  <si>
    <t>OppMove3DmgMethod</t>
  </si>
  <si>
    <t>OppMove4DmgMethod</t>
  </si>
  <si>
    <t>Variable damage.</t>
  </si>
  <si>
    <t>Fixed damage.</t>
  </si>
  <si>
    <t>OHKO move.</t>
  </si>
  <si>
    <t>Custom damage logic.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</si>
  <si>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</si>
  <si>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</si>
  <si>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</si>
  <si>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</si>
  <si>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</si>
  <si>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</si>
  <si>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</si>
  <si>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</si>
  <si>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</si>
  <si>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</si>
  <si>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</si>
  <si>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ActivationCondition</t>
  </si>
  <si>
    <t>Always</t>
  </si>
  <si>
    <t>RequiresUserHit</t>
  </si>
  <si>
    <t>RequiresTargetPhysicalMove</t>
  </si>
  <si>
    <t>DelayedDamage</t>
  </si>
  <si>
    <t>RequiresFirstTurn</t>
  </si>
  <si>
    <t>RequiresUserNotHitBeforeMove</t>
  </si>
  <si>
    <t>RequiresTargetSpecialMove</t>
  </si>
  <si>
    <t>RequiresTargetDamagingMove</t>
  </si>
  <si>
    <t>BestMoveCategory</t>
  </si>
  <si>
    <t>OppMove1</t>
  </si>
  <si>
    <t>OppMove2</t>
  </si>
  <si>
    <t>OppMove3</t>
  </si>
  <si>
    <t>OppMove4</t>
  </si>
  <si>
    <t>OppMove1Cond</t>
  </si>
  <si>
    <t>OppMove2Cond</t>
  </si>
  <si>
    <t>OppMove3Cond</t>
  </si>
  <si>
    <t>OppMove4Cond</t>
  </si>
  <si>
    <t>Move1Elig</t>
  </si>
  <si>
    <t>Move2Elig</t>
  </si>
  <si>
    <t>Move3Elig</t>
  </si>
  <si>
    <t>Move4Elig</t>
  </si>
  <si>
    <t>RequiresTargetContactMove</t>
  </si>
  <si>
    <t>ContactRiskNote</t>
  </si>
  <si>
    <t>Spiky Shield</t>
  </si>
  <si>
    <t>IncomingOHKONote</t>
  </si>
  <si>
    <t>Rough Skin</t>
  </si>
  <si>
    <t>Contact</t>
  </si>
  <si>
    <t>Contact attacker takes damage.</t>
  </si>
  <si>
    <t>Static</t>
  </si>
  <si>
    <t>Contact may cause paralysis.</t>
  </si>
  <si>
    <t>Flame Body</t>
  </si>
  <si>
    <t>Contact may cause burn.</t>
  </si>
  <si>
    <t>Poison Point</t>
  </si>
  <si>
    <t>Contact may cause poison.</t>
  </si>
  <si>
    <t>Effect Spore</t>
  </si>
  <si>
    <t>Contact may inflict sleep, poison, or paralysis.</t>
  </si>
  <si>
    <t>Gooey</t>
  </si>
  <si>
    <t>Contact lowers attacker's Speed.</t>
  </si>
  <si>
    <t>Tangling Hair</t>
  </si>
  <si>
    <t>Faint</t>
  </si>
  <si>
    <t>Contact attacker takes damage if this Pokémon faints.</t>
  </si>
  <si>
    <t>May survive an otherwise lethal hit at full HP.</t>
  </si>
  <si>
    <t>Tactical</t>
  </si>
  <si>
    <t>AbilityTacticalNote</t>
  </si>
  <si>
    <t>Unnerve</t>
  </si>
  <si>
    <t>Baby-Doll Eyes</t>
  </si>
  <si>
    <t>Leftovers</t>
  </si>
  <si>
    <t>Charcoal</t>
  </si>
  <si>
    <t>Sylveon</t>
  </si>
  <si>
    <t>Cute Charm</t>
  </si>
  <si>
    <t>Expert Belt</t>
  </si>
  <si>
    <t>Black Glasses</t>
  </si>
  <si>
    <t>Wise Glasses</t>
  </si>
  <si>
    <t>Chandelure</t>
  </si>
  <si>
    <t>Metal Coat</t>
  </si>
  <si>
    <t>StatusEffect</t>
  </si>
  <si>
    <t>ActivationPowerMultiplier</t>
  </si>
  <si>
    <t>Paralysis</t>
  </si>
  <si>
    <t>Sleep</t>
  </si>
  <si>
    <t>Burn</t>
  </si>
  <si>
    <t>TargetAnyStatus</t>
  </si>
  <si>
    <t>TargetPoisoned</t>
  </si>
  <si>
    <t>UserBurnPoisonParalysis</t>
  </si>
  <si>
    <t>RequiredStatus</t>
  </si>
  <si>
    <t>Move1ActCond</t>
  </si>
  <si>
    <t>Move1ActMult</t>
  </si>
  <si>
    <t>Move1BoostedScore</t>
  </si>
  <si>
    <t>Move2ActCond</t>
  </si>
  <si>
    <t>Move2ActMult</t>
  </si>
  <si>
    <t>Move2BoostedScore</t>
  </si>
  <si>
    <t>Move3ActCond</t>
  </si>
  <si>
    <t>Move3ActMult</t>
  </si>
  <si>
    <t>Move3BoostedScore</t>
  </si>
  <si>
    <t>Move4ActCond</t>
  </si>
  <si>
    <t>Move4ActMult</t>
  </si>
  <si>
    <t>Move4BoostedScore</t>
  </si>
  <si>
    <t>TeamCanStatus</t>
  </si>
  <si>
    <t>BestConditionalMove</t>
  </si>
  <si>
    <t>BestBoostedScore</t>
  </si>
  <si>
    <t>CondBoostedNote</t>
  </si>
  <si>
    <t>AtkStageChange</t>
  </si>
  <si>
    <t>DefStageChange</t>
  </si>
  <si>
    <t>SpAStageChange</t>
  </si>
  <si>
    <t>SpDStageChange</t>
  </si>
  <si>
    <t>SpeStageChange</t>
  </si>
  <si>
    <t>HasBodyPress</t>
  </si>
  <si>
    <t>MaxDefBoost</t>
  </si>
  <si>
    <t>BoostedBodyPressScore</t>
  </si>
  <si>
    <t>BodyPressNote</t>
  </si>
  <si>
    <t>EffectiveDEF</t>
  </si>
  <si>
    <t>EffectiveSPD</t>
  </si>
  <si>
    <t>Eviolite</t>
  </si>
  <si>
    <t>Item</t>
  </si>
  <si>
    <t>EffectType</t>
  </si>
  <si>
    <t>StatAffected</t>
  </si>
  <si>
    <t>Multiplier</t>
  </si>
  <si>
    <t>Condition</t>
  </si>
  <si>
    <t>None</t>
  </si>
  <si>
    <t>StatMultiplier</t>
  </si>
  <si>
    <t>DEF/SPD</t>
  </si>
  <si>
    <t>CanEvolve</t>
  </si>
  <si>
    <t>AppliesTo</t>
  </si>
  <si>
    <t>MoveTypeAffected</t>
  </si>
  <si>
    <t>MoveCategoryAffected</t>
  </si>
  <si>
    <t>Defense</t>
  </si>
  <si>
    <t>DamageMultiplier</t>
  </si>
  <si>
    <t>Offense</t>
  </si>
  <si>
    <t>Miracle Seed</t>
  </si>
  <si>
    <t>Magnet</t>
  </si>
  <si>
    <t>Mystic Water</t>
  </si>
  <si>
    <t>Sharp Beak</t>
  </si>
  <si>
    <t>Spell Tag</t>
  </si>
  <si>
    <t>Pixie Plate</t>
  </si>
  <si>
    <t>Move1ItemBoosted</t>
  </si>
  <si>
    <t>Move2ItemBoosted</t>
  </si>
  <si>
    <t>Move3ItemBoosted</t>
  </si>
  <si>
    <t>Move4ItemBoosted</t>
  </si>
  <si>
    <t>BestMoveItemBoosted</t>
  </si>
  <si>
    <t>IncomingItemBoosted</t>
  </si>
  <si>
    <t>BestMoveScoreNumeric</t>
  </si>
  <si>
    <t>IncomingWorstScoreNumeric</t>
  </si>
  <si>
    <t>* Value is modified by held item.</t>
  </si>
  <si>
    <t>Soft Sand</t>
  </si>
  <si>
    <t>Roserade</t>
  </si>
  <si>
    <t>Raichu</t>
  </si>
  <si>
    <t>Wyndon Stadium (Grookey)</t>
  </si>
  <si>
    <t>Seismitoad</t>
  </si>
  <si>
    <t>Poison Touch</t>
  </si>
  <si>
    <t>Cinderace</t>
  </si>
  <si>
    <t>Wyndon Stadium (Sobble)</t>
  </si>
  <si>
    <t>Rhyperior</t>
  </si>
  <si>
    <t>Wyndon Stadium (Scorbunny)</t>
  </si>
  <si>
    <t>Black Sludge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</si>
</sst>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"/>
    </font>
    <font>
      <sz val="11"/>
      <name val="Carlito"/>
    </font>
    <font>
      <b/>
      <sz val="11"/>
      <color rgb="FFFFFFFF"/>
      <name val="Aptos Narrow"/>
      <family val="2"/>
      <scheme val="minor"/>
    </font>
    <font>
      <b/>
      <sz val="14"/>
      <color rgb="FFFFFFFF"/>
      <name val="Bahnschrift"/>
      <family val="2"/>
    </font>
    <font>
      <sz val="11"/>
      <color theme="1"/>
      <name val="Bahnschrift"/>
      <family val="2"/>
    </font>
    <font>
      <b/>
      <sz val="14"/>
      <color rgb="FF1F4E79"/>
      <name val="Bahnschrift"/>
      <family val="2"/>
    </font>
    <font>
      <b/>
      <sz val="14"/>
      <color theme="1"/>
      <name val="Bahnschrift"/>
      <family val="2"/>
    </font>
    <font>
      <sz val="11"/>
      <color rgb="FF000000"/>
      <name val="Bahnschrift"/>
      <family val="2"/>
    </font>
    <font>
      <b/>
      <sz val="18"/>
      <color theme="1"/>
      <name val="Bahnschrift"/>
      <family val="2"/>
    </font>
    <font>
      <b/>
      <sz val="20"/>
      <color theme="1"/>
      <name val="Bahnschrift"/>
      <family val="2"/>
    </font>
    <font>
      <b/>
      <sz val="16"/>
      <color theme="1"/>
      <name val="Bahnschrift"/>
      <family val="2"/>
    </font>
    <font>
      <b/>
      <sz val="12"/>
      <color theme="1"/>
      <name val="Bahnschrift"/>
      <family val="2"/>
    </font>
    <font>
      <b/>
      <sz val="11"/>
      <color theme="1"/>
      <name val="Bahnschrift"/>
      <family val="2"/>
    </font>
    <font>
      <b/>
      <sz val="11"/>
      <color rgb="FF000000"/>
      <name val="Bahnschrift"/>
      <family val="2"/>
    </font>
    <font>
      <b/>
      <sz val="11"/>
      <color rgb="FFFFFFFF"/>
      <name val="Bahnschrift"/>
      <family val="2"/>
    </font>
    <font>
      <sz val="11"/>
      <color theme="1"/>
      <name val="Bahnschrift"/>
    </font>
    <font>
      <b/>
      <sz val="11"/>
      <color theme="1"/>
      <name val="Aptos Narrow"/>
      <scheme val="minor"/>
    </font>
    <font>
      <b/>
      <sz val="19"/>
      <color theme="1"/>
      <name val="Bahnschrift"/>
      <family val="2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i/>
      <sz val="10"/>
      <color theme="2" tint="-0.749992370372631"/>
      <name val="Aptos Narrow"/>
      <family val="2"/>
      <scheme val="minor"/>
    </font>
    <font>
      <sz val="12"/>
      <color theme="1"/>
      <name val="Bahnschrift"/>
      <family val="2"/>
    </font>
    <font>
      <b/>
      <sz val="13"/>
      <color theme="1"/>
      <name val="Bahnschrift"/>
      <family val="2"/>
    </font>
    <font>
      <sz val="13"/>
      <color theme="1"/>
      <name val="Bahnschrift"/>
      <family val="2"/>
    </font>
    <font>
      <b/>
      <sz val="12"/>
      <color rgb="FF000000"/>
      <name val="Bahnschrift"/>
      <family val="2"/>
    </font>
    <font>
      <b/>
      <sz val="13"/>
      <color rgb="FF1F4E79"/>
      <name val="Bahnschrift"/>
      <family val="2"/>
    </font>
  </fonts>
  <fills count="2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08030"/>
        <bgColor indexed="64"/>
      </patternFill>
    </fill>
    <fill>
      <patternFill patternType="solid">
        <fgColor rgb="FF6890F0"/>
        <bgColor indexed="64"/>
      </patternFill>
    </fill>
    <fill>
      <patternFill patternType="solid">
        <fgColor rgb="FFC22E28"/>
        <bgColor indexed="64"/>
      </patternFill>
    </fill>
    <fill>
      <patternFill patternType="solid">
        <fgColor rgb="FFF8D030"/>
        <bgColor indexed="64"/>
      </patternFill>
    </fill>
    <fill>
      <patternFill patternType="solid">
        <fgColor rgb="FFA8A878"/>
        <bgColor indexed="64"/>
      </patternFill>
    </fill>
    <fill>
      <patternFill patternType="solid">
        <fgColor rgb="FFA890F0"/>
        <bgColor indexed="64"/>
      </patternFill>
    </fill>
    <fill>
      <patternFill patternType="solid">
        <fgColor rgb="FF78C850"/>
        <bgColor indexed="64"/>
      </patternFill>
    </fill>
    <fill>
      <patternFill patternType="solid">
        <fgColor rgb="FF98D8D8"/>
        <bgColor indexed="64"/>
      </patternFill>
    </fill>
    <fill>
      <patternFill patternType="solid">
        <fgColor rgb="FFA040A0"/>
        <bgColor indexed="64"/>
      </patternFill>
    </fill>
    <fill>
      <patternFill patternType="solid">
        <fgColor rgb="FFE0C068"/>
        <bgColor indexed="64"/>
      </patternFill>
    </fill>
    <fill>
      <patternFill patternType="solid">
        <fgColor rgb="FFF85888"/>
        <bgColor indexed="64"/>
      </patternFill>
    </fill>
    <fill>
      <patternFill patternType="solid">
        <fgColor rgb="FFA8B820"/>
        <bgColor indexed="64"/>
      </patternFill>
    </fill>
    <fill>
      <patternFill patternType="solid">
        <fgColor rgb="FFB8A038"/>
        <bgColor indexed="64"/>
      </patternFill>
    </fill>
    <fill>
      <patternFill patternType="solid">
        <fgColor rgb="FF705898"/>
        <bgColor indexed="64"/>
      </patternFill>
    </fill>
    <fill>
      <patternFill patternType="solid">
        <fgColor rgb="FF7038F8"/>
        <bgColor indexed="64"/>
      </patternFill>
    </fill>
    <fill>
      <patternFill patternType="solid">
        <fgColor rgb="FF705848"/>
        <bgColor indexed="64"/>
      </patternFill>
    </fill>
    <fill>
      <patternFill patternType="solid">
        <fgColor rgb="FFB8B8D0"/>
        <bgColor indexed="64"/>
      </patternFill>
    </fill>
    <fill>
      <patternFill patternType="solid">
        <fgColor rgb="FFEE99A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</fills>
  <borders count="26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9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3" borderId="0" xfId="0" applyFont="1" applyFill="1"/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wrapText="1"/>
      <protection locked="0"/>
    </xf>
    <xf numFmtId="1" fontId="0" fillId="0" borderId="0" xfId="0" applyNumberForma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6" fillId="3" borderId="5" xfId="0" applyFont="1" applyFill="1" applyBorder="1" applyAlignment="1" applyProtection="1">
      <alignment horizontal="left" vertical="center" wrapText="1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6" fillId="3" borderId="6" xfId="0" applyFont="1" applyFill="1" applyBorder="1" applyAlignment="1" applyProtection="1">
      <alignment horizontal="left" wrapText="1"/>
      <protection locked="0"/>
    </xf>
    <xf numFmtId="0" fontId="6" fillId="3" borderId="3" xfId="0" applyFont="1" applyFill="1" applyBorder="1" applyAlignment="1" applyProtection="1">
      <alignment horizontal="left" wrapText="1"/>
      <protection locked="0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10" fillId="23" borderId="0" xfId="0" applyFont="1" applyFill="1" applyAlignment="1" applyProtection="1">
      <alignment horizontal="left"/>
      <protection locked="0"/>
    </xf>
    <xf numFmtId="0" fontId="7" fillId="23" borderId="0" xfId="0" applyFont="1" applyFill="1" applyProtection="1"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23" borderId="0" xfId="0" applyFont="1" applyFill="1" applyAlignment="1" applyProtection="1">
      <alignment horizontal="right"/>
      <protection locked="0"/>
    </xf>
    <xf numFmtId="0" fontId="12" fillId="0" borderId="0" xfId="0" applyFont="1" applyAlignment="1" applyProtection="1">
      <alignment horizontal="left"/>
      <protection locked="0"/>
    </xf>
    <xf numFmtId="0" fontId="7" fillId="0" borderId="0" xfId="0" applyFont="1"/>
    <xf numFmtId="0" fontId="9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15" fillId="0" borderId="13" xfId="0" applyFont="1" applyBorder="1" applyAlignment="1">
      <alignment horizontal="left" wrapText="1"/>
    </xf>
    <xf numFmtId="0" fontId="15" fillId="0" borderId="16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8" fillId="0" borderId="0" xfId="0" applyFont="1"/>
    <xf numFmtId="0" fontId="16" fillId="9" borderId="17" xfId="0" applyFont="1" applyFill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0" fontId="16" fillId="6" borderId="19" xfId="0" applyFont="1" applyFill="1" applyBorder="1" applyAlignment="1">
      <alignment horizontal="center"/>
    </xf>
    <xf numFmtId="0" fontId="16" fillId="8" borderId="20" xfId="0" applyFont="1" applyFill="1" applyBorder="1" applyAlignment="1">
      <alignment horizontal="center"/>
    </xf>
    <xf numFmtId="0" fontId="16" fillId="11" borderId="12" xfId="0" applyFont="1" applyFill="1" applyBorder="1" applyAlignment="1">
      <alignment horizontal="center"/>
    </xf>
    <xf numFmtId="0" fontId="16" fillId="12" borderId="21" xfId="0" applyFont="1" applyFill="1" applyBorder="1" applyAlignment="1">
      <alignment horizontal="center"/>
    </xf>
    <xf numFmtId="0" fontId="17" fillId="7" borderId="20" xfId="0" applyFont="1" applyFill="1" applyBorder="1" applyAlignment="1">
      <alignment horizontal="center"/>
    </xf>
    <xf numFmtId="0" fontId="17" fillId="13" borderId="12" xfId="0" applyFont="1" applyFill="1" applyBorder="1" applyAlignment="1">
      <alignment horizontal="center"/>
    </xf>
    <xf numFmtId="0" fontId="16" fillId="14" borderId="21" xfId="0" applyFont="1" applyFill="1" applyBorder="1" applyAlignment="1">
      <alignment horizontal="center"/>
    </xf>
    <xf numFmtId="0" fontId="16" fillId="10" borderId="20" xfId="0" applyFont="1" applyFill="1" applyBorder="1" applyAlignment="1">
      <alignment horizontal="center"/>
    </xf>
    <xf numFmtId="0" fontId="16" fillId="15" borderId="12" xfId="0" applyFont="1" applyFill="1" applyBorder="1" applyAlignment="1">
      <alignment horizontal="center"/>
    </xf>
    <xf numFmtId="0" fontId="16" fillId="16" borderId="21" xfId="0" applyFont="1" applyFill="1" applyBorder="1" applyAlignment="1">
      <alignment horizontal="center"/>
    </xf>
    <xf numFmtId="0" fontId="16" fillId="17" borderId="20" xfId="0" applyFont="1" applyFill="1" applyBorder="1" applyAlignment="1">
      <alignment horizontal="center"/>
    </xf>
    <xf numFmtId="0" fontId="17" fillId="18" borderId="12" xfId="0" applyFont="1" applyFill="1" applyBorder="1" applyAlignment="1">
      <alignment horizontal="center"/>
    </xf>
    <xf numFmtId="0" fontId="17" fillId="19" borderId="21" xfId="0" applyFont="1" applyFill="1" applyBorder="1" applyAlignment="1">
      <alignment horizontal="center"/>
    </xf>
    <xf numFmtId="0" fontId="17" fillId="20" borderId="3" xfId="0" applyFont="1" applyFill="1" applyBorder="1" applyAlignment="1">
      <alignment horizontal="center"/>
    </xf>
    <xf numFmtId="0" fontId="16" fillId="21" borderId="22" xfId="0" applyFont="1" applyFill="1" applyBorder="1" applyAlignment="1">
      <alignment horizontal="center"/>
    </xf>
    <xf numFmtId="0" fontId="16" fillId="22" borderId="23" xfId="0" applyFont="1" applyFill="1" applyBorder="1" applyAlignment="1">
      <alignment horizontal="center"/>
    </xf>
    <xf numFmtId="0" fontId="14" fillId="0" borderId="14" xfId="0" applyFont="1" applyBorder="1"/>
    <xf numFmtId="0" fontId="7" fillId="25" borderId="24" xfId="0" applyFont="1" applyFill="1" applyBorder="1"/>
    <xf numFmtId="0" fontId="7" fillId="26" borderId="12" xfId="0" applyFont="1" applyFill="1" applyBorder="1"/>
    <xf numFmtId="0" fontId="7" fillId="27" borderId="12" xfId="0" applyFont="1" applyFill="1" applyBorder="1"/>
    <xf numFmtId="0" fontId="7" fillId="24" borderId="12" xfId="0" applyFont="1" applyFill="1" applyBorder="1"/>
    <xf numFmtId="0" fontId="15" fillId="0" borderId="0" xfId="0" applyFont="1" applyAlignment="1" applyProtection="1">
      <alignment horizontal="center" vertical="center" wrapText="1"/>
      <protection locked="0"/>
    </xf>
    <xf numFmtId="0" fontId="1" fillId="0" borderId="0" xfId="0" applyFont="1"/>
    <xf numFmtId="0" fontId="28" fillId="0" borderId="0" xfId="0" applyFont="1" applyAlignment="1" applyProtection="1">
      <alignment horizontal="center" vertical="center" wrapText="1"/>
      <protection locked="0"/>
    </xf>
    <xf numFmtId="0" fontId="29" fillId="0" borderId="0" xfId="0" applyFont="1" applyProtection="1">
      <protection locked="0"/>
    </xf>
    <xf numFmtId="0" fontId="29" fillId="0" borderId="0" xfId="0" applyFont="1"/>
    <xf numFmtId="0" fontId="29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30" fillId="0" borderId="12" xfId="0" applyFont="1" applyBorder="1" applyAlignment="1">
      <alignment vertical="center"/>
    </xf>
    <xf numFmtId="0" fontId="27" fillId="0" borderId="12" xfId="0" applyFont="1" applyBorder="1" applyAlignment="1">
      <alignment vertical="center"/>
    </xf>
    <xf numFmtId="2" fontId="27" fillId="0" borderId="12" xfId="0" applyNumberFormat="1" applyFont="1" applyBorder="1" applyAlignment="1">
      <alignment horizontal="right" vertical="center"/>
    </xf>
    <xf numFmtId="2" fontId="27" fillId="0" borderId="12" xfId="0" applyNumberFormat="1" applyFont="1" applyBorder="1" applyAlignment="1">
      <alignment horizontal="right" vertical="center" wrapText="1"/>
    </xf>
    <xf numFmtId="2" fontId="27" fillId="0" borderId="12" xfId="0" applyNumberFormat="1" applyFont="1" applyBorder="1" applyAlignment="1">
      <alignment vertical="center" wrapText="1"/>
    </xf>
    <xf numFmtId="2" fontId="27" fillId="0" borderId="12" xfId="0" applyNumberFormat="1" applyFont="1" applyBorder="1" applyAlignment="1">
      <alignment vertical="center"/>
    </xf>
    <xf numFmtId="0" fontId="30" fillId="0" borderId="22" xfId="0" applyFont="1" applyBorder="1" applyAlignment="1">
      <alignment vertical="center"/>
    </xf>
    <xf numFmtId="0" fontId="27" fillId="0" borderId="22" xfId="0" applyFont="1" applyBorder="1" applyAlignment="1">
      <alignment vertical="center"/>
    </xf>
    <xf numFmtId="2" fontId="27" fillId="0" borderId="22" xfId="0" applyNumberFormat="1" applyFont="1" applyBorder="1" applyAlignment="1">
      <alignment horizontal="right" vertical="center"/>
    </xf>
    <xf numFmtId="2" fontId="27" fillId="0" borderId="22" xfId="0" applyNumberFormat="1" applyFont="1" applyBorder="1" applyAlignment="1">
      <alignment horizontal="right" vertical="center" wrapText="1"/>
    </xf>
    <xf numFmtId="2" fontId="27" fillId="0" borderId="22" xfId="0" applyNumberFormat="1" applyFont="1" applyBorder="1" applyAlignment="1">
      <alignment vertical="center"/>
    </xf>
    <xf numFmtId="0" fontId="27" fillId="0" borderId="12" xfId="0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  <xf numFmtId="0" fontId="10" fillId="0" borderId="0" xfId="0" applyFont="1" applyAlignment="1" applyProtection="1">
      <alignment horizontal="left"/>
      <protection locked="0"/>
    </xf>
    <xf numFmtId="0" fontId="7" fillId="0" borderId="9" xfId="0" applyFont="1" applyBorder="1" applyAlignment="1" applyProtection="1">
      <alignment horizontal="left" vertical="top" wrapText="1"/>
      <protection locked="0"/>
    </xf>
    <xf numFmtId="0" fontId="26" fillId="0" borderId="25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0" fillId="0" borderId="0" xfId="0" applyProtection="1"/>
    <xf numFmtId="0" fontId="31" fillId="4" borderId="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54FBFEE8-6C67-4919-AE7C-1D1530762E80}"/>
  </cellStyles>
  <dxfs count="454"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color rgb="FF000000"/>
      </font>
      <fill>
        <patternFill patternType="solid">
          <fgColor indexed="64"/>
          <bgColor rgb="FFEE99AC"/>
        </patternFill>
      </fill>
    </dxf>
    <dxf>
      <font>
        <color rgb="FF000000"/>
      </font>
      <fill>
        <patternFill patternType="solid">
          <fgColor indexed="64"/>
          <bgColor rgb="FFB8B8D0"/>
        </patternFill>
      </fill>
    </dxf>
    <dxf>
      <font>
        <color rgb="FFFFFFFF"/>
      </font>
      <fill>
        <patternFill patternType="solid">
          <fgColor indexed="64"/>
          <bgColor rgb="FF705848"/>
        </patternFill>
      </fill>
    </dxf>
    <dxf>
      <font>
        <color rgb="FFFFFFFF"/>
      </font>
      <fill>
        <patternFill patternType="solid">
          <fgColor indexed="64"/>
          <bgColor rgb="FF7038F8"/>
        </patternFill>
      </fill>
    </dxf>
    <dxf>
      <font>
        <color rgb="FFFFFFFF"/>
      </font>
      <fill>
        <patternFill patternType="solid">
          <fgColor indexed="64"/>
          <bgColor rgb="FF705898"/>
        </patternFill>
      </fill>
    </dxf>
    <dxf>
      <font>
        <color rgb="FF000000"/>
      </font>
      <fill>
        <patternFill patternType="solid">
          <fgColor indexed="64"/>
          <bgColor rgb="FFB8A038"/>
        </patternFill>
      </fill>
    </dxf>
    <dxf>
      <font>
        <color rgb="FF000000"/>
      </font>
      <fill>
        <patternFill patternType="solid">
          <fgColor indexed="64"/>
          <bgColor rgb="FFA8B820"/>
        </patternFill>
      </fill>
    </dxf>
    <dxf>
      <font>
        <color rgb="FF000000"/>
      </font>
      <fill>
        <patternFill patternType="solid">
          <fgColor indexed="64"/>
          <bgColor rgb="FFF85888"/>
        </patternFill>
      </fill>
    </dxf>
    <dxf>
      <font>
        <color rgb="FF000000"/>
      </font>
      <fill>
        <patternFill patternType="solid">
          <fgColor indexed="64"/>
          <bgColor rgb="FFA890F0"/>
        </patternFill>
      </fill>
    </dxf>
    <dxf>
      <font>
        <color rgb="FF000000"/>
      </font>
      <fill>
        <patternFill patternType="solid">
          <fgColor indexed="64"/>
          <bgColor rgb="FFE0C068"/>
        </patternFill>
      </fill>
    </dxf>
    <dxf>
      <font>
        <color rgb="FFFFFFFF"/>
      </font>
      <fill>
        <patternFill patternType="solid">
          <fgColor indexed="64"/>
          <bgColor rgb="FFA040A0"/>
        </patternFill>
      </fill>
    </dxf>
    <dxf>
      <font>
        <color rgb="FFFFFFFF"/>
      </font>
      <fill>
        <patternFill patternType="solid">
          <fgColor indexed="64"/>
          <bgColor rgb="FFC22E28"/>
        </patternFill>
      </fill>
    </dxf>
    <dxf>
      <font>
        <color rgb="FF000000"/>
      </font>
      <fill>
        <patternFill patternType="solid">
          <fgColor indexed="64"/>
          <bgColor rgb="FF98D8D8"/>
        </patternFill>
      </fill>
    </dxf>
    <dxf>
      <font>
        <color rgb="FF000000"/>
      </font>
      <fill>
        <patternFill patternType="solid">
          <fgColor indexed="64"/>
          <bgColor rgb="FF78C850"/>
        </patternFill>
      </fill>
    </dxf>
    <dxf>
      <font>
        <color rgb="FF000000"/>
      </font>
      <fill>
        <patternFill patternType="solid">
          <fgColor indexed="64"/>
          <bgColor rgb="FFF8D030"/>
        </patternFill>
      </fill>
    </dxf>
    <dxf>
      <font>
        <color rgb="FF000000"/>
      </font>
      <fill>
        <patternFill patternType="solid">
          <fgColor indexed="64"/>
          <bgColor rgb="FF6890F0"/>
        </patternFill>
      </fill>
    </dxf>
    <dxf>
      <font>
        <color rgb="FF000000"/>
      </font>
      <fill>
        <patternFill patternType="solid">
          <fgColor indexed="64"/>
          <bgColor rgb="FFF08030"/>
        </patternFill>
      </fill>
    </dxf>
    <dxf>
      <font>
        <color rgb="FF000000"/>
      </font>
      <fill>
        <patternFill patternType="solid">
          <fgColor indexed="64"/>
          <bgColor rgb="FFA8A878"/>
        </patternFill>
      </fill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6B6B"/>
        </patternFill>
      </fill>
    </dxf>
    <dxf>
      <font>
        <color rgb="FF000000"/>
      </font>
      <fill>
        <patternFill patternType="solid">
          <fgColor indexed="64"/>
          <bgColor rgb="FFEE99AC"/>
        </patternFill>
      </fill>
    </dxf>
    <dxf>
      <font>
        <color rgb="FF000000"/>
      </font>
      <fill>
        <patternFill patternType="solid">
          <fgColor indexed="64"/>
          <bgColor rgb="FFB8B8D0"/>
        </patternFill>
      </fill>
    </dxf>
    <dxf>
      <font>
        <color rgb="FFFFFFFF"/>
      </font>
      <fill>
        <patternFill patternType="solid">
          <fgColor indexed="64"/>
          <bgColor rgb="FF705848"/>
        </patternFill>
      </fill>
    </dxf>
    <dxf>
      <font>
        <color rgb="FFFFFFFF"/>
      </font>
      <fill>
        <patternFill patternType="solid">
          <fgColor indexed="64"/>
          <bgColor rgb="FF7038F8"/>
        </patternFill>
      </fill>
    </dxf>
    <dxf>
      <font>
        <color rgb="FFFFFFFF"/>
      </font>
      <fill>
        <patternFill patternType="solid">
          <fgColor indexed="64"/>
          <bgColor rgb="FF705898"/>
        </patternFill>
      </fill>
    </dxf>
    <dxf>
      <font>
        <color rgb="FF000000"/>
      </font>
      <fill>
        <patternFill patternType="solid">
          <fgColor indexed="64"/>
          <bgColor rgb="FFB8A038"/>
        </patternFill>
      </fill>
    </dxf>
    <dxf>
      <font>
        <color rgb="FF000000"/>
      </font>
      <fill>
        <patternFill patternType="solid">
          <fgColor indexed="64"/>
          <bgColor rgb="FFA8B820"/>
        </patternFill>
      </fill>
    </dxf>
    <dxf>
      <font>
        <color rgb="FF000000"/>
      </font>
      <fill>
        <patternFill patternType="solid">
          <fgColor indexed="64"/>
          <bgColor rgb="FFF85888"/>
        </patternFill>
      </fill>
    </dxf>
    <dxf>
      <font>
        <color rgb="FF000000"/>
      </font>
      <fill>
        <patternFill patternType="solid">
          <fgColor indexed="64"/>
          <bgColor rgb="FFA890F0"/>
        </patternFill>
      </fill>
    </dxf>
    <dxf>
      <font>
        <color rgb="FF000000"/>
      </font>
      <fill>
        <patternFill patternType="solid">
          <fgColor indexed="64"/>
          <bgColor rgb="FFE0C068"/>
        </patternFill>
      </fill>
    </dxf>
    <dxf>
      <font>
        <color rgb="FFFFFFFF"/>
      </font>
      <fill>
        <patternFill patternType="solid">
          <fgColor indexed="64"/>
          <bgColor rgb="FFA040A0"/>
        </patternFill>
      </fill>
    </dxf>
    <dxf>
      <font>
        <color rgb="FFFFFFFF"/>
      </font>
      <fill>
        <patternFill patternType="solid">
          <fgColor indexed="64"/>
          <bgColor rgb="FFC22E28"/>
        </patternFill>
      </fill>
    </dxf>
    <dxf>
      <font>
        <color rgb="FF000000"/>
      </font>
      <fill>
        <patternFill patternType="solid">
          <fgColor indexed="64"/>
          <bgColor rgb="FF98D8D8"/>
        </patternFill>
      </fill>
    </dxf>
    <dxf>
      <font>
        <color rgb="FF000000"/>
      </font>
      <fill>
        <patternFill patternType="solid">
          <fgColor indexed="64"/>
          <bgColor rgb="FF78C850"/>
        </patternFill>
      </fill>
    </dxf>
    <dxf>
      <font>
        <color rgb="FF000000"/>
      </font>
      <fill>
        <patternFill patternType="solid">
          <fgColor indexed="64"/>
          <bgColor rgb="FFF8D030"/>
        </patternFill>
      </fill>
    </dxf>
    <dxf>
      <font>
        <color rgb="FF000000"/>
      </font>
      <fill>
        <patternFill patternType="solid">
          <fgColor indexed="64"/>
          <bgColor rgb="FF6890F0"/>
        </patternFill>
      </fill>
    </dxf>
    <dxf>
      <font>
        <color rgb="FF000000"/>
      </font>
      <fill>
        <patternFill patternType="solid">
          <fgColor indexed="64"/>
          <bgColor rgb="FFF08030"/>
        </patternFill>
      </fill>
    </dxf>
    <dxf>
      <font>
        <color rgb="FF000000"/>
      </font>
      <fill>
        <patternFill patternType="solid">
          <fgColor indexed="64"/>
          <bgColor rgb="FFA8A878"/>
        </patternFill>
      </fill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EB9C"/>
        </patternFill>
      </fill>
    </dxf>
    <dxf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EE99AC"/>
        </patternFill>
      </fill>
    </dxf>
    <dxf>
      <font>
        <color rgb="FF000000"/>
      </font>
      <fill>
        <patternFill patternType="solid">
          <fgColor indexed="64"/>
          <bgColor rgb="FFB8B8D0"/>
        </patternFill>
      </fill>
    </dxf>
    <dxf>
      <font>
        <color rgb="FFFFFFFF"/>
      </font>
      <fill>
        <patternFill patternType="solid">
          <fgColor indexed="64"/>
          <bgColor rgb="FF705848"/>
        </patternFill>
      </fill>
    </dxf>
    <dxf>
      <font>
        <color rgb="FFFFFFFF"/>
      </font>
      <fill>
        <patternFill patternType="solid">
          <fgColor indexed="64"/>
          <bgColor rgb="FF7038F8"/>
        </patternFill>
      </fill>
    </dxf>
    <dxf>
      <font>
        <color rgb="FFFFFFFF"/>
      </font>
      <fill>
        <patternFill patternType="solid">
          <fgColor indexed="64"/>
          <bgColor rgb="FF705898"/>
        </patternFill>
      </fill>
    </dxf>
    <dxf>
      <font>
        <color rgb="FF000000"/>
      </font>
      <fill>
        <patternFill patternType="solid">
          <fgColor indexed="64"/>
          <bgColor rgb="FFB8A038"/>
        </patternFill>
      </fill>
    </dxf>
    <dxf>
      <font>
        <color rgb="FF000000"/>
      </font>
      <fill>
        <patternFill patternType="solid">
          <fgColor indexed="64"/>
          <bgColor rgb="FFA8B820"/>
        </patternFill>
      </fill>
    </dxf>
    <dxf>
      <font>
        <color rgb="FF000000"/>
      </font>
      <fill>
        <patternFill patternType="solid">
          <fgColor indexed="64"/>
          <bgColor rgb="FFF85888"/>
        </patternFill>
      </fill>
    </dxf>
    <dxf>
      <font>
        <color rgb="FF000000"/>
      </font>
      <fill>
        <patternFill patternType="solid">
          <fgColor indexed="64"/>
          <bgColor rgb="FFA890F0"/>
        </patternFill>
      </fill>
    </dxf>
    <dxf>
      <font>
        <color rgb="FF000000"/>
      </font>
      <fill>
        <patternFill patternType="solid">
          <fgColor indexed="64"/>
          <bgColor rgb="FFE0C068"/>
        </patternFill>
      </fill>
    </dxf>
    <dxf>
      <font>
        <color rgb="FFFFFFFF"/>
      </font>
      <fill>
        <patternFill patternType="solid">
          <fgColor indexed="64"/>
          <bgColor rgb="FFA040A0"/>
        </patternFill>
      </fill>
    </dxf>
    <dxf>
      <font>
        <color rgb="FFFFFFFF"/>
      </font>
      <fill>
        <patternFill patternType="solid">
          <fgColor indexed="64"/>
          <bgColor rgb="FFC22E28"/>
        </patternFill>
      </fill>
    </dxf>
    <dxf>
      <font>
        <color rgb="FF000000"/>
      </font>
      <fill>
        <patternFill patternType="solid">
          <fgColor indexed="64"/>
          <bgColor rgb="FF98D8D8"/>
        </patternFill>
      </fill>
    </dxf>
    <dxf>
      <font>
        <color rgb="FF000000"/>
      </font>
      <fill>
        <patternFill patternType="solid">
          <fgColor indexed="64"/>
          <bgColor rgb="FF78C850"/>
        </patternFill>
      </fill>
    </dxf>
    <dxf>
      <font>
        <color rgb="FF000000"/>
      </font>
      <fill>
        <patternFill patternType="solid">
          <fgColor indexed="64"/>
          <bgColor rgb="FFF8D030"/>
        </patternFill>
      </fill>
    </dxf>
    <dxf>
      <font>
        <color rgb="FF000000"/>
      </font>
      <fill>
        <patternFill patternType="solid">
          <fgColor indexed="64"/>
          <bgColor rgb="FF6890F0"/>
        </patternFill>
      </fill>
    </dxf>
    <dxf>
      <font>
        <color rgb="FF000000"/>
      </font>
      <fill>
        <patternFill patternType="solid">
          <fgColor indexed="64"/>
          <bgColor rgb="FFF08030"/>
        </patternFill>
      </fill>
    </dxf>
    <dxf>
      <font>
        <color rgb="FF000000"/>
      </font>
      <fill>
        <patternFill patternType="solid">
          <fgColor indexed="64"/>
          <bgColor rgb="FFA8A878"/>
        </patternFill>
      </fill>
    </dxf>
    <dxf>
      <font>
        <color rgb="FF000000"/>
      </font>
      <fill>
        <patternFill patternType="solid">
          <fgColor indexed="64"/>
          <bgColor rgb="FFEE99AC"/>
        </patternFill>
      </fill>
    </dxf>
    <dxf>
      <font>
        <color rgb="FF000000"/>
      </font>
      <fill>
        <patternFill patternType="solid">
          <fgColor indexed="64"/>
          <bgColor rgb="FFB8B8D0"/>
        </patternFill>
      </fill>
    </dxf>
    <dxf>
      <font>
        <color rgb="FFFFFFFF"/>
      </font>
      <fill>
        <patternFill patternType="solid">
          <fgColor indexed="64"/>
          <bgColor rgb="FF705848"/>
        </patternFill>
      </fill>
    </dxf>
    <dxf>
      <font>
        <color rgb="FFFFFFFF"/>
      </font>
      <fill>
        <patternFill patternType="solid">
          <fgColor indexed="64"/>
          <bgColor rgb="FF7038F8"/>
        </patternFill>
      </fill>
    </dxf>
    <dxf>
      <font>
        <color rgb="FFFFFFFF"/>
      </font>
      <fill>
        <patternFill patternType="solid">
          <fgColor indexed="64"/>
          <bgColor rgb="FF705898"/>
        </patternFill>
      </fill>
    </dxf>
    <dxf>
      <font>
        <color rgb="FF000000"/>
      </font>
      <fill>
        <patternFill patternType="solid">
          <fgColor indexed="64"/>
          <bgColor rgb="FFB8A038"/>
        </patternFill>
      </fill>
    </dxf>
    <dxf>
      <font>
        <color rgb="FF000000"/>
      </font>
      <fill>
        <patternFill patternType="solid">
          <fgColor indexed="64"/>
          <bgColor rgb="FFA8B820"/>
        </patternFill>
      </fill>
    </dxf>
    <dxf>
      <font>
        <color rgb="FF000000"/>
      </font>
      <fill>
        <patternFill patternType="solid">
          <fgColor indexed="64"/>
          <bgColor rgb="FFF85888"/>
        </patternFill>
      </fill>
    </dxf>
    <dxf>
      <font>
        <color rgb="FF000000"/>
      </font>
      <fill>
        <patternFill patternType="solid">
          <fgColor indexed="64"/>
          <bgColor rgb="FFA890F0"/>
        </patternFill>
      </fill>
    </dxf>
    <dxf>
      <font>
        <color rgb="FF000000"/>
      </font>
      <fill>
        <patternFill patternType="solid">
          <fgColor indexed="64"/>
          <bgColor rgb="FFE0C068"/>
        </patternFill>
      </fill>
    </dxf>
    <dxf>
      <font>
        <color rgb="FFFFFFFF"/>
      </font>
      <fill>
        <patternFill patternType="solid">
          <fgColor indexed="64"/>
          <bgColor rgb="FFA040A0"/>
        </patternFill>
      </fill>
    </dxf>
    <dxf>
      <font>
        <color rgb="FFFFFFFF"/>
      </font>
      <fill>
        <patternFill patternType="solid">
          <fgColor indexed="64"/>
          <bgColor rgb="FFC22E28"/>
        </patternFill>
      </fill>
    </dxf>
    <dxf>
      <font>
        <color rgb="FF000000"/>
      </font>
      <fill>
        <patternFill patternType="solid">
          <fgColor indexed="64"/>
          <bgColor rgb="FF98D8D8"/>
        </patternFill>
      </fill>
    </dxf>
    <dxf>
      <font>
        <color rgb="FF000000"/>
      </font>
      <fill>
        <patternFill patternType="solid">
          <fgColor indexed="64"/>
          <bgColor rgb="FF78C850"/>
        </patternFill>
      </fill>
    </dxf>
    <dxf>
      <font>
        <color rgb="FF000000"/>
      </font>
      <fill>
        <patternFill patternType="solid">
          <fgColor indexed="64"/>
          <bgColor rgb="FFF8D030"/>
        </patternFill>
      </fill>
    </dxf>
    <dxf>
      <font>
        <color rgb="FF000000"/>
      </font>
      <fill>
        <patternFill patternType="solid">
          <fgColor indexed="64"/>
          <bgColor rgb="FF6890F0"/>
        </patternFill>
      </fill>
    </dxf>
    <dxf>
      <font>
        <color rgb="FF000000"/>
      </font>
      <fill>
        <patternFill patternType="solid">
          <fgColor indexed="64"/>
          <bgColor rgb="FFF08030"/>
        </patternFill>
      </fill>
    </dxf>
    <dxf>
      <font>
        <color rgb="FF000000"/>
      </font>
      <fill>
        <patternFill patternType="solid">
          <fgColor indexed="64"/>
          <bgColor rgb="FFA8A878"/>
        </patternFill>
      </fill>
    </dxf>
    <dxf>
      <font>
        <color rgb="FF000000"/>
      </font>
      <fill>
        <patternFill patternType="solid">
          <fgColor indexed="64"/>
          <bgColor rgb="FFEE99AC"/>
        </patternFill>
      </fill>
    </dxf>
    <dxf>
      <font>
        <color rgb="FF000000"/>
      </font>
      <fill>
        <patternFill patternType="solid">
          <fgColor indexed="64"/>
          <bgColor rgb="FFB8B8D0"/>
        </patternFill>
      </fill>
    </dxf>
    <dxf>
      <font>
        <color rgb="FFFFFFFF"/>
      </font>
      <fill>
        <patternFill patternType="solid">
          <fgColor indexed="64"/>
          <bgColor rgb="FF705848"/>
        </patternFill>
      </fill>
    </dxf>
    <dxf>
      <font>
        <color rgb="FFFFFFFF"/>
      </font>
      <fill>
        <patternFill patternType="solid">
          <fgColor indexed="64"/>
          <bgColor rgb="FF7038F8"/>
        </patternFill>
      </fill>
    </dxf>
    <dxf>
      <font>
        <color rgb="FFFFFFFF"/>
      </font>
      <fill>
        <patternFill patternType="solid">
          <fgColor indexed="64"/>
          <bgColor rgb="FF705898"/>
        </patternFill>
      </fill>
    </dxf>
    <dxf>
      <font>
        <color rgb="FF000000"/>
      </font>
      <fill>
        <patternFill patternType="solid">
          <fgColor indexed="64"/>
          <bgColor rgb="FFB8A038"/>
        </patternFill>
      </fill>
    </dxf>
    <dxf>
      <font>
        <color rgb="FF000000"/>
      </font>
      <fill>
        <patternFill patternType="solid">
          <fgColor indexed="64"/>
          <bgColor rgb="FFA8B820"/>
        </patternFill>
      </fill>
    </dxf>
    <dxf>
      <font>
        <color rgb="FF000000"/>
      </font>
      <fill>
        <patternFill patternType="solid">
          <fgColor indexed="64"/>
          <bgColor rgb="FFF85888"/>
        </patternFill>
      </fill>
    </dxf>
    <dxf>
      <font>
        <color rgb="FF000000"/>
      </font>
      <fill>
        <patternFill patternType="solid">
          <fgColor indexed="64"/>
          <bgColor rgb="FFA890F0"/>
        </patternFill>
      </fill>
    </dxf>
    <dxf>
      <font>
        <color rgb="FF000000"/>
      </font>
      <fill>
        <patternFill patternType="solid">
          <fgColor indexed="64"/>
          <bgColor rgb="FFE0C068"/>
        </patternFill>
      </fill>
    </dxf>
    <dxf>
      <font>
        <color rgb="FFFFFFFF"/>
      </font>
      <fill>
        <patternFill patternType="solid">
          <fgColor indexed="64"/>
          <bgColor rgb="FFA040A0"/>
        </patternFill>
      </fill>
    </dxf>
    <dxf>
      <font>
        <color rgb="FFFFFFFF"/>
      </font>
      <fill>
        <patternFill patternType="solid">
          <fgColor indexed="64"/>
          <bgColor rgb="FFC22E28"/>
        </patternFill>
      </fill>
    </dxf>
    <dxf>
      <font>
        <color rgb="FF000000"/>
      </font>
      <fill>
        <patternFill patternType="solid">
          <fgColor indexed="64"/>
          <bgColor rgb="FF98D8D8"/>
        </patternFill>
      </fill>
    </dxf>
    <dxf>
      <font>
        <color rgb="FF000000"/>
      </font>
      <fill>
        <patternFill patternType="solid">
          <fgColor indexed="64"/>
          <bgColor rgb="FF78C850"/>
        </patternFill>
      </fill>
    </dxf>
    <dxf>
      <font>
        <color rgb="FF000000"/>
      </font>
      <fill>
        <patternFill patternType="solid">
          <fgColor indexed="64"/>
          <bgColor rgb="FFF8D030"/>
        </patternFill>
      </fill>
    </dxf>
    <dxf>
      <font>
        <color rgb="FF000000"/>
      </font>
      <fill>
        <patternFill patternType="solid">
          <fgColor indexed="64"/>
          <bgColor rgb="FF6890F0"/>
        </patternFill>
      </fill>
    </dxf>
    <dxf>
      <font>
        <color rgb="FF000000"/>
      </font>
      <fill>
        <patternFill patternType="solid">
          <fgColor indexed="64"/>
          <bgColor rgb="FFF08030"/>
        </patternFill>
      </fill>
    </dxf>
    <dxf>
      <font>
        <color rgb="FF000000"/>
      </font>
      <fill>
        <patternFill patternType="solid">
          <fgColor indexed="64"/>
          <bgColor rgb="FFA8A878"/>
        </patternFill>
      </fill>
    </dxf>
    <dxf>
      <font>
        <color rgb="FF000000"/>
      </font>
      <fill>
        <patternFill patternType="solid">
          <fgColor indexed="64"/>
          <bgColor rgb="FFEE99AC"/>
        </patternFill>
      </fill>
    </dxf>
    <dxf>
      <font>
        <color rgb="FF000000"/>
      </font>
      <fill>
        <patternFill patternType="solid">
          <fgColor indexed="64"/>
          <bgColor rgb="FFB8B8D0"/>
        </patternFill>
      </fill>
    </dxf>
    <dxf>
      <font>
        <color rgb="FFFFFFFF"/>
      </font>
      <fill>
        <patternFill patternType="solid">
          <fgColor indexed="64"/>
          <bgColor rgb="FF705848"/>
        </patternFill>
      </fill>
    </dxf>
    <dxf>
      <font>
        <color rgb="FFFFFFFF"/>
      </font>
      <fill>
        <patternFill patternType="solid">
          <fgColor indexed="64"/>
          <bgColor rgb="FF7038F8"/>
        </patternFill>
      </fill>
    </dxf>
    <dxf>
      <font>
        <color rgb="FFFFFFFF"/>
      </font>
      <fill>
        <patternFill patternType="solid">
          <fgColor indexed="64"/>
          <bgColor rgb="FF705898"/>
        </patternFill>
      </fill>
    </dxf>
    <dxf>
      <font>
        <color rgb="FF000000"/>
      </font>
      <fill>
        <patternFill patternType="solid">
          <fgColor indexed="64"/>
          <bgColor rgb="FFB8A038"/>
        </patternFill>
      </fill>
    </dxf>
    <dxf>
      <font>
        <color rgb="FF000000"/>
      </font>
      <fill>
        <patternFill patternType="solid">
          <fgColor indexed="64"/>
          <bgColor rgb="FFA8B820"/>
        </patternFill>
      </fill>
    </dxf>
    <dxf>
      <font>
        <color rgb="FF000000"/>
      </font>
      <fill>
        <patternFill patternType="solid">
          <fgColor indexed="64"/>
          <bgColor rgb="FFF85888"/>
        </patternFill>
      </fill>
    </dxf>
    <dxf>
      <font>
        <color rgb="FF000000"/>
      </font>
      <fill>
        <patternFill patternType="solid">
          <fgColor indexed="64"/>
          <bgColor rgb="FFA890F0"/>
        </patternFill>
      </fill>
    </dxf>
    <dxf>
      <font>
        <color rgb="FF000000"/>
      </font>
      <fill>
        <patternFill patternType="solid">
          <fgColor indexed="64"/>
          <bgColor rgb="FFE0C068"/>
        </patternFill>
      </fill>
    </dxf>
    <dxf>
      <font>
        <color rgb="FFFFFFFF"/>
      </font>
      <fill>
        <patternFill patternType="solid">
          <fgColor indexed="64"/>
          <bgColor rgb="FFA040A0"/>
        </patternFill>
      </fill>
    </dxf>
    <dxf>
      <font>
        <color rgb="FFFFFFFF"/>
      </font>
      <fill>
        <patternFill patternType="solid">
          <fgColor indexed="64"/>
          <bgColor rgb="FFC22E28"/>
        </patternFill>
      </fill>
    </dxf>
    <dxf>
      <font>
        <color rgb="FF000000"/>
      </font>
      <fill>
        <patternFill patternType="solid">
          <fgColor indexed="64"/>
          <bgColor rgb="FF98D8D8"/>
        </patternFill>
      </fill>
    </dxf>
    <dxf>
      <font>
        <color rgb="FF000000"/>
      </font>
      <fill>
        <patternFill patternType="solid">
          <fgColor indexed="64"/>
          <bgColor rgb="FF78C850"/>
        </patternFill>
      </fill>
    </dxf>
    <dxf>
      <font>
        <color rgb="FF000000"/>
      </font>
      <fill>
        <patternFill patternType="solid">
          <fgColor indexed="64"/>
          <bgColor rgb="FFF8D030"/>
        </patternFill>
      </fill>
    </dxf>
    <dxf>
      <font>
        <color rgb="FF000000"/>
      </font>
      <fill>
        <patternFill patternType="solid">
          <fgColor indexed="64"/>
          <bgColor rgb="FF6890F0"/>
        </patternFill>
      </fill>
    </dxf>
    <dxf>
      <font>
        <color rgb="FF000000"/>
      </font>
      <fill>
        <patternFill patternType="solid">
          <fgColor indexed="64"/>
          <bgColor rgb="FFF08030"/>
        </patternFill>
      </fill>
    </dxf>
    <dxf>
      <font>
        <color rgb="FF000000"/>
      </font>
      <fill>
        <patternFill patternType="solid">
          <fgColor indexed="64"/>
          <bgColor rgb="FFA8A878"/>
        </patternFill>
      </fill>
    </dxf>
    <dxf>
      <font>
        <color rgb="FF000000"/>
      </font>
      <fill>
        <patternFill patternType="solid">
          <fgColor indexed="64"/>
          <bgColor rgb="FFEE99AC"/>
        </patternFill>
      </fill>
    </dxf>
    <dxf>
      <font>
        <color rgb="FF000000"/>
      </font>
      <fill>
        <patternFill patternType="solid">
          <fgColor indexed="64"/>
          <bgColor rgb="FFB8B8D0"/>
        </patternFill>
      </fill>
    </dxf>
    <dxf>
      <font>
        <color rgb="FFFFFFFF"/>
      </font>
      <fill>
        <patternFill patternType="solid">
          <fgColor indexed="64"/>
          <bgColor rgb="FF705848"/>
        </patternFill>
      </fill>
    </dxf>
    <dxf>
      <font>
        <color rgb="FFFFFFFF"/>
      </font>
      <fill>
        <patternFill patternType="solid">
          <fgColor indexed="64"/>
          <bgColor rgb="FF7038F8"/>
        </patternFill>
      </fill>
    </dxf>
    <dxf>
      <font>
        <color rgb="FFFFFFFF"/>
      </font>
      <fill>
        <patternFill patternType="solid">
          <fgColor indexed="64"/>
          <bgColor rgb="FF705898"/>
        </patternFill>
      </fill>
    </dxf>
    <dxf>
      <font>
        <color rgb="FF000000"/>
      </font>
      <fill>
        <patternFill patternType="solid">
          <fgColor indexed="64"/>
          <bgColor rgb="FFB8A038"/>
        </patternFill>
      </fill>
    </dxf>
    <dxf>
      <font>
        <color rgb="FF000000"/>
      </font>
      <fill>
        <patternFill patternType="solid">
          <fgColor indexed="64"/>
          <bgColor rgb="FFA8B820"/>
        </patternFill>
      </fill>
    </dxf>
    <dxf>
      <font>
        <color rgb="FF000000"/>
      </font>
      <fill>
        <patternFill patternType="solid">
          <fgColor indexed="64"/>
          <bgColor rgb="FFF85888"/>
        </patternFill>
      </fill>
    </dxf>
    <dxf>
      <font>
        <color rgb="FF000000"/>
      </font>
      <fill>
        <patternFill patternType="solid">
          <fgColor indexed="64"/>
          <bgColor rgb="FFA890F0"/>
        </patternFill>
      </fill>
    </dxf>
    <dxf>
      <font>
        <color rgb="FF000000"/>
      </font>
      <fill>
        <patternFill patternType="solid">
          <fgColor indexed="64"/>
          <bgColor rgb="FFE0C068"/>
        </patternFill>
      </fill>
    </dxf>
    <dxf>
      <font>
        <color rgb="FFFFFFFF"/>
      </font>
      <fill>
        <patternFill patternType="solid">
          <fgColor indexed="64"/>
          <bgColor rgb="FFA040A0"/>
        </patternFill>
      </fill>
    </dxf>
    <dxf>
      <font>
        <color rgb="FFFFFFFF"/>
      </font>
      <fill>
        <patternFill patternType="solid">
          <fgColor indexed="64"/>
          <bgColor rgb="FFC22E28"/>
        </patternFill>
      </fill>
    </dxf>
    <dxf>
      <font>
        <color rgb="FF000000"/>
      </font>
      <fill>
        <patternFill patternType="solid">
          <fgColor indexed="64"/>
          <bgColor rgb="FF98D8D8"/>
        </patternFill>
      </fill>
    </dxf>
    <dxf>
      <font>
        <color rgb="FF000000"/>
      </font>
      <fill>
        <patternFill patternType="solid">
          <fgColor indexed="64"/>
          <bgColor rgb="FF78C850"/>
        </patternFill>
      </fill>
    </dxf>
    <dxf>
      <font>
        <color rgb="FF000000"/>
      </font>
      <fill>
        <patternFill patternType="solid">
          <fgColor indexed="64"/>
          <bgColor rgb="FFF8D030"/>
        </patternFill>
      </fill>
    </dxf>
    <dxf>
      <font>
        <color rgb="FF000000"/>
      </font>
      <fill>
        <patternFill patternType="solid">
          <fgColor indexed="64"/>
          <bgColor rgb="FF6890F0"/>
        </patternFill>
      </fill>
    </dxf>
    <dxf>
      <font>
        <color rgb="FF000000"/>
      </font>
      <fill>
        <patternFill patternType="solid">
          <fgColor indexed="64"/>
          <bgColor rgb="FFF08030"/>
        </patternFill>
      </fill>
    </dxf>
    <dxf>
      <font>
        <color rgb="FF000000"/>
      </font>
      <fill>
        <patternFill patternType="solid">
          <fgColor indexed="64"/>
          <bgColor rgb="FFA8A878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CE4D6"/>
        </patternFill>
      </fill>
    </dxf>
    <dxf>
      <font>
        <color rgb="FF000000"/>
      </font>
      <fill>
        <patternFill patternType="solid">
          <fgColor indexed="64"/>
          <bgColor rgb="FFEE99AC"/>
        </patternFill>
      </fill>
    </dxf>
    <dxf>
      <font>
        <color rgb="FF000000"/>
      </font>
      <fill>
        <patternFill patternType="solid">
          <fgColor indexed="64"/>
          <bgColor rgb="FFB8B8D0"/>
        </patternFill>
      </fill>
    </dxf>
    <dxf>
      <font>
        <color rgb="FFFFFFFF"/>
      </font>
      <fill>
        <patternFill patternType="solid">
          <fgColor indexed="64"/>
          <bgColor rgb="FF705848"/>
        </patternFill>
      </fill>
    </dxf>
    <dxf>
      <font>
        <color rgb="FFFFFFFF"/>
      </font>
      <fill>
        <patternFill patternType="solid">
          <fgColor indexed="64"/>
          <bgColor rgb="FF7038F8"/>
        </patternFill>
      </fill>
    </dxf>
    <dxf>
      <font>
        <color rgb="FFFFFFFF"/>
      </font>
      <fill>
        <patternFill patternType="solid">
          <fgColor indexed="64"/>
          <bgColor rgb="FF705898"/>
        </patternFill>
      </fill>
    </dxf>
    <dxf>
      <font>
        <color rgb="FF000000"/>
      </font>
      <fill>
        <patternFill patternType="solid">
          <fgColor indexed="64"/>
          <bgColor rgb="FFB8A038"/>
        </patternFill>
      </fill>
    </dxf>
    <dxf>
      <font>
        <color rgb="FF000000"/>
      </font>
      <fill>
        <patternFill patternType="solid">
          <fgColor indexed="64"/>
          <bgColor rgb="FFA8B820"/>
        </patternFill>
      </fill>
    </dxf>
    <dxf>
      <font>
        <color rgb="FF000000"/>
      </font>
      <fill>
        <patternFill patternType="solid">
          <fgColor indexed="64"/>
          <bgColor rgb="FFF85888"/>
        </patternFill>
      </fill>
    </dxf>
    <dxf>
      <font>
        <color rgb="FF000000"/>
      </font>
      <fill>
        <patternFill patternType="solid">
          <fgColor indexed="64"/>
          <bgColor rgb="FFA890F0"/>
        </patternFill>
      </fill>
    </dxf>
    <dxf>
      <font>
        <color rgb="FF000000"/>
      </font>
      <fill>
        <patternFill patternType="solid">
          <fgColor indexed="64"/>
          <bgColor rgb="FFE0C068"/>
        </patternFill>
      </fill>
    </dxf>
    <dxf>
      <font>
        <color rgb="FFFFFFFF"/>
      </font>
      <fill>
        <patternFill patternType="solid">
          <fgColor indexed="64"/>
          <bgColor rgb="FFA040A0"/>
        </patternFill>
      </fill>
    </dxf>
    <dxf>
      <font>
        <color rgb="FFFFFFFF"/>
      </font>
      <fill>
        <patternFill patternType="solid">
          <fgColor indexed="64"/>
          <bgColor rgb="FFC22E28"/>
        </patternFill>
      </fill>
    </dxf>
    <dxf>
      <font>
        <color rgb="FF000000"/>
      </font>
      <fill>
        <patternFill patternType="solid">
          <fgColor indexed="64"/>
          <bgColor rgb="FF98D8D8"/>
        </patternFill>
      </fill>
    </dxf>
    <dxf>
      <font>
        <color rgb="FF000000"/>
      </font>
      <fill>
        <patternFill patternType="solid">
          <fgColor indexed="64"/>
          <bgColor rgb="FF78C850"/>
        </patternFill>
      </fill>
    </dxf>
    <dxf>
      <font>
        <color rgb="FF000000"/>
      </font>
      <fill>
        <patternFill patternType="solid">
          <fgColor indexed="64"/>
          <bgColor rgb="FFF8D030"/>
        </patternFill>
      </fill>
    </dxf>
    <dxf>
      <font>
        <color rgb="FF000000"/>
      </font>
      <fill>
        <patternFill patternType="solid">
          <fgColor indexed="64"/>
          <bgColor rgb="FF6890F0"/>
        </patternFill>
      </fill>
    </dxf>
    <dxf>
      <font>
        <color rgb="FF000000"/>
      </font>
      <fill>
        <patternFill patternType="solid">
          <fgColor indexed="64"/>
          <bgColor rgb="FFF08030"/>
        </patternFill>
      </fill>
    </dxf>
    <dxf>
      <font>
        <color rgb="FF000000"/>
      </font>
      <fill>
        <patternFill patternType="solid">
          <fgColor indexed="64"/>
          <bgColor rgb="FFA8A878"/>
        </patternFill>
      </fill>
    </dxf>
    <dxf>
      <font>
        <color rgb="FF000000"/>
      </font>
      <fill>
        <patternFill patternType="solid">
          <fgColor indexed="64"/>
          <bgColor rgb="FFEE99AC"/>
        </patternFill>
      </fill>
    </dxf>
    <dxf>
      <font>
        <color rgb="FF000000"/>
      </font>
      <fill>
        <patternFill patternType="solid">
          <fgColor indexed="64"/>
          <bgColor rgb="FFB8B8D0"/>
        </patternFill>
      </fill>
    </dxf>
    <dxf>
      <font>
        <color rgb="FFFFFFFF"/>
      </font>
      <fill>
        <patternFill patternType="solid">
          <fgColor indexed="64"/>
          <bgColor rgb="FF705848"/>
        </patternFill>
      </fill>
    </dxf>
    <dxf>
      <font>
        <color rgb="FFFFFFFF"/>
      </font>
      <fill>
        <patternFill patternType="solid">
          <fgColor indexed="64"/>
          <bgColor rgb="FF7038F8"/>
        </patternFill>
      </fill>
    </dxf>
    <dxf>
      <font>
        <color rgb="FFFFFFFF"/>
      </font>
      <fill>
        <patternFill patternType="solid">
          <fgColor indexed="64"/>
          <bgColor rgb="FF705898"/>
        </patternFill>
      </fill>
    </dxf>
    <dxf>
      <font>
        <color rgb="FF000000"/>
      </font>
      <fill>
        <patternFill patternType="solid">
          <fgColor indexed="64"/>
          <bgColor rgb="FFB8A038"/>
        </patternFill>
      </fill>
    </dxf>
    <dxf>
      <font>
        <color rgb="FF000000"/>
      </font>
      <fill>
        <patternFill patternType="solid">
          <fgColor indexed="64"/>
          <bgColor rgb="FFA8B820"/>
        </patternFill>
      </fill>
    </dxf>
    <dxf>
      <font>
        <color rgb="FF000000"/>
      </font>
      <fill>
        <patternFill patternType="solid">
          <fgColor indexed="64"/>
          <bgColor rgb="FFF85888"/>
        </patternFill>
      </fill>
    </dxf>
    <dxf>
      <font>
        <color rgb="FF000000"/>
      </font>
      <fill>
        <patternFill patternType="solid">
          <fgColor indexed="64"/>
          <bgColor rgb="FFA890F0"/>
        </patternFill>
      </fill>
    </dxf>
    <dxf>
      <font>
        <color rgb="FF000000"/>
      </font>
      <fill>
        <patternFill patternType="solid">
          <fgColor indexed="64"/>
          <bgColor rgb="FFE0C068"/>
        </patternFill>
      </fill>
    </dxf>
    <dxf>
      <font>
        <color rgb="FFFFFFFF"/>
      </font>
      <fill>
        <patternFill patternType="solid">
          <fgColor indexed="64"/>
          <bgColor rgb="FFA040A0"/>
        </patternFill>
      </fill>
    </dxf>
    <dxf>
      <font>
        <color rgb="FFFFFFFF"/>
      </font>
      <fill>
        <patternFill patternType="solid">
          <fgColor indexed="64"/>
          <bgColor rgb="FFC22E28"/>
        </patternFill>
      </fill>
    </dxf>
    <dxf>
      <font>
        <color rgb="FF000000"/>
      </font>
      <fill>
        <patternFill patternType="solid">
          <fgColor indexed="64"/>
          <bgColor rgb="FF98D8D8"/>
        </patternFill>
      </fill>
    </dxf>
    <dxf>
      <font>
        <color rgb="FF000000"/>
      </font>
      <fill>
        <patternFill patternType="solid">
          <fgColor indexed="64"/>
          <bgColor rgb="FF78C850"/>
        </patternFill>
      </fill>
    </dxf>
    <dxf>
      <font>
        <color rgb="FF000000"/>
      </font>
      <fill>
        <patternFill patternType="solid">
          <fgColor indexed="64"/>
          <bgColor rgb="FFF8D030"/>
        </patternFill>
      </fill>
    </dxf>
    <dxf>
      <font>
        <color rgb="FF000000"/>
      </font>
      <fill>
        <patternFill patternType="solid">
          <fgColor indexed="64"/>
          <bgColor rgb="FF6890F0"/>
        </patternFill>
      </fill>
    </dxf>
    <dxf>
      <font>
        <color rgb="FF000000"/>
      </font>
      <fill>
        <patternFill patternType="solid">
          <fgColor indexed="64"/>
          <bgColor rgb="FFF08030"/>
        </patternFill>
      </fill>
    </dxf>
    <dxf>
      <font>
        <color rgb="FF000000"/>
      </font>
      <fill>
        <patternFill patternType="solid">
          <fgColor indexed="64"/>
          <bgColor rgb="FFA8A878"/>
        </patternFill>
      </fill>
    </dxf>
    <dxf>
      <font>
        <color rgb="FF000000"/>
      </font>
      <fill>
        <patternFill patternType="solid">
          <fgColor indexed="64"/>
          <bgColor rgb="FFEE99AC"/>
        </patternFill>
      </fill>
    </dxf>
    <dxf>
      <font>
        <color rgb="FF000000"/>
      </font>
      <fill>
        <patternFill patternType="solid">
          <fgColor indexed="64"/>
          <bgColor rgb="FFB8B8D0"/>
        </patternFill>
      </fill>
    </dxf>
    <dxf>
      <font>
        <color rgb="FFFFFFFF"/>
      </font>
      <fill>
        <patternFill patternType="solid">
          <fgColor indexed="64"/>
          <bgColor rgb="FF705848"/>
        </patternFill>
      </fill>
    </dxf>
    <dxf>
      <font>
        <color rgb="FFFFFFFF"/>
      </font>
      <fill>
        <patternFill patternType="solid">
          <fgColor indexed="64"/>
          <bgColor rgb="FF7038F8"/>
        </patternFill>
      </fill>
    </dxf>
    <dxf>
      <font>
        <color rgb="FFFFFFFF"/>
      </font>
      <fill>
        <patternFill patternType="solid">
          <fgColor indexed="64"/>
          <bgColor rgb="FF705898"/>
        </patternFill>
      </fill>
    </dxf>
    <dxf>
      <font>
        <color rgb="FF000000"/>
      </font>
      <fill>
        <patternFill patternType="solid">
          <fgColor indexed="64"/>
          <bgColor rgb="FFB8A038"/>
        </patternFill>
      </fill>
    </dxf>
    <dxf>
      <font>
        <color rgb="FF000000"/>
      </font>
      <fill>
        <patternFill patternType="solid">
          <fgColor indexed="64"/>
          <bgColor rgb="FFA8B820"/>
        </patternFill>
      </fill>
    </dxf>
    <dxf>
      <font>
        <color rgb="FF000000"/>
      </font>
      <fill>
        <patternFill patternType="solid">
          <fgColor indexed="64"/>
          <bgColor rgb="FFF85888"/>
        </patternFill>
      </fill>
    </dxf>
    <dxf>
      <font>
        <color rgb="FF000000"/>
      </font>
      <fill>
        <patternFill patternType="solid">
          <fgColor indexed="64"/>
          <bgColor rgb="FFA890F0"/>
        </patternFill>
      </fill>
    </dxf>
    <dxf>
      <font>
        <color rgb="FF000000"/>
      </font>
      <fill>
        <patternFill patternType="solid">
          <fgColor indexed="64"/>
          <bgColor rgb="FFE0C068"/>
        </patternFill>
      </fill>
    </dxf>
    <dxf>
      <font>
        <color rgb="FFFFFFFF"/>
      </font>
      <fill>
        <patternFill patternType="solid">
          <fgColor indexed="64"/>
          <bgColor rgb="FFA040A0"/>
        </patternFill>
      </fill>
    </dxf>
    <dxf>
      <font>
        <color rgb="FFFFFFFF"/>
      </font>
      <fill>
        <patternFill patternType="solid">
          <fgColor indexed="64"/>
          <bgColor rgb="FFC22E28"/>
        </patternFill>
      </fill>
    </dxf>
    <dxf>
      <font>
        <color rgb="FF000000"/>
      </font>
      <fill>
        <patternFill patternType="solid">
          <fgColor indexed="64"/>
          <bgColor rgb="FF98D8D8"/>
        </patternFill>
      </fill>
    </dxf>
    <dxf>
      <font>
        <color rgb="FF000000"/>
      </font>
      <fill>
        <patternFill patternType="solid">
          <fgColor indexed="64"/>
          <bgColor rgb="FF78C850"/>
        </patternFill>
      </fill>
    </dxf>
    <dxf>
      <font>
        <color rgb="FF000000"/>
      </font>
      <fill>
        <patternFill patternType="solid">
          <fgColor indexed="64"/>
          <bgColor rgb="FFF8D030"/>
        </patternFill>
      </fill>
    </dxf>
    <dxf>
      <font>
        <color rgb="FF000000"/>
      </font>
      <fill>
        <patternFill patternType="solid">
          <fgColor indexed="64"/>
          <bgColor rgb="FF6890F0"/>
        </patternFill>
      </fill>
    </dxf>
    <dxf>
      <font>
        <color rgb="FF000000"/>
      </font>
      <fill>
        <patternFill patternType="solid">
          <fgColor indexed="64"/>
          <bgColor rgb="FFF08030"/>
        </patternFill>
      </fill>
    </dxf>
    <dxf>
      <font>
        <color rgb="FF000000"/>
      </font>
      <fill>
        <patternFill patternType="solid">
          <fgColor indexed="64"/>
          <bgColor rgb="FFA8A878"/>
        </patternFill>
      </fill>
    </dxf>
    <dxf>
      <font>
        <strike val="0"/>
        <outline val="0"/>
        <shadow val="0"/>
        <u val="none"/>
        <vertAlign val="baseline"/>
        <sz val="12"/>
        <name val="Bahnschrift"/>
        <family val="2"/>
        <scheme val="none"/>
      </font>
      <numFmt numFmtId="0" formatCode="General"/>
      <alignment horizontal="general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numFmt numFmtId="0" formatCode="General"/>
      <fill>
        <patternFill patternType="none"/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/>
    </dxf>
    <dxf>
      <font>
        <strike val="0"/>
        <outline val="0"/>
        <shadow val="0"/>
        <u val="none"/>
        <vertAlign val="baseline"/>
        <sz val="12"/>
        <name val="Bahnschrift"/>
        <family val="2"/>
        <scheme val="none"/>
      </font>
      <numFmt numFmtId="2" formatCode="0.00"/>
      <alignment horizontal="general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1"/>
    </dxf>
    <dxf>
      <font>
        <strike val="0"/>
        <outline val="0"/>
        <shadow val="0"/>
        <u val="none"/>
        <vertAlign val="baseline"/>
        <sz val="12"/>
        <name val="Bahnschrift"/>
        <family val="2"/>
        <scheme val="none"/>
      </font>
      <numFmt numFmtId="2" formatCode="0.00"/>
      <alignment horizontal="right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1"/>
    </dxf>
    <dxf>
      <font>
        <strike val="0"/>
        <outline val="0"/>
        <shadow val="0"/>
        <u val="none"/>
        <vertAlign val="baseline"/>
        <sz val="12"/>
        <name val="Bahnschrift"/>
        <family val="2"/>
        <scheme val="none"/>
      </font>
      <numFmt numFmtId="2" formatCode="0.00"/>
      <alignment horizontal="right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1"/>
    </dxf>
    <dxf>
      <font>
        <strike val="0"/>
        <outline val="0"/>
        <shadow val="0"/>
        <u val="none"/>
        <vertAlign val="baseline"/>
        <sz val="12"/>
        <name val="Bahnschrift"/>
        <family val="2"/>
        <scheme val="none"/>
      </font>
      <numFmt numFmtId="0" formatCode="General"/>
      <alignment horizontal="general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1"/>
    </dxf>
    <dxf>
      <font>
        <strike val="0"/>
        <outline val="0"/>
        <shadow val="0"/>
        <u val="none"/>
        <vertAlign val="baseline"/>
        <sz val="12"/>
        <name val="Bahnschrift"/>
        <family val="2"/>
        <scheme val="none"/>
      </font>
      <numFmt numFmtId="0" formatCode="General"/>
      <alignment horizontal="general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1"/>
    </dxf>
    <dxf>
      <font>
        <strike val="0"/>
        <outline val="0"/>
        <shadow val="0"/>
        <u val="none"/>
        <vertAlign val="baseline"/>
        <sz val="12"/>
        <name val="Bahnschrift"/>
        <family val="2"/>
        <scheme val="none"/>
      </font>
      <numFmt numFmtId="0" formatCode="General"/>
      <alignment horizontal="general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1"/>
    </dxf>
    <dxf>
      <font>
        <strike val="0"/>
        <outline val="0"/>
        <shadow val="0"/>
        <u val="none"/>
        <vertAlign val="baseline"/>
        <sz val="12"/>
        <name val="Bahnschrift"/>
        <family val="2"/>
        <scheme val="none"/>
      </font>
      <numFmt numFmtId="0" formatCode="General"/>
      <fill>
        <patternFill patternType="none"/>
      </fill>
      <alignment horizontal="general" vertical="center" textRotation="0" indent="0" justifyLastLine="0" shrinkToFit="0" readingOrder="0"/>
      <border diagonalUp="0" diagonalDown="0" outline="0">
        <left style="medium">
          <color rgb="FF000000"/>
        </left>
        <right style="thin">
          <color indexed="64"/>
        </right>
        <top/>
        <bottom/>
      </border>
      <protection locked="1"/>
    </dxf>
    <dxf>
      <font>
        <b/>
      </font>
    </dxf>
    <dxf>
      <protection locked="0"/>
    </dxf>
    <dxf>
      <protection locked="0"/>
    </dxf>
    <dxf>
      <alignment horizontal="center"/>
      <protection locked="0"/>
    </dxf>
    <dxf>
      <alignment horizontal="left"/>
      <protection locked="0"/>
    </dxf>
    <dxf>
      <protection locked="1"/>
    </dxf>
    <dxf>
      <protection locked="1"/>
    </dxf>
    <dxf>
      <protection locked="0"/>
    </dxf>
    <dxf>
      <alignment horizontal="center"/>
      <protection locked="0"/>
    </dxf>
    <dxf>
      <alignment horizontal="left"/>
      <protection locked="0"/>
    </dxf>
    <dxf>
      <protection locked="1"/>
    </dxf>
    <dxf>
      <protection locked="1"/>
    </dxf>
    <dxf>
      <protection locked="0"/>
    </dxf>
    <dxf>
      <alignment horizontal="center"/>
      <protection locked="0"/>
    </dxf>
    <dxf>
      <alignment horizontal="left"/>
      <protection locked="0"/>
    </dxf>
    <dxf>
      <protection locked="1"/>
    </dxf>
    <dxf>
      <protection locked="1"/>
    </dxf>
    <dxf>
      <protection locked="0"/>
    </dxf>
    <dxf>
      <alignment horizontal="center"/>
      <protection locked="0"/>
    </dxf>
    <dxf>
      <alignment horizontal="left"/>
      <protection locked="0"/>
    </dxf>
    <dxf>
      <protection locked="1"/>
    </dxf>
    <dxf>
      <protection locked="1"/>
    </dxf>
    <dxf>
      <protection locked="0"/>
    </dxf>
    <dxf>
      <numFmt numFmtId="1" formatCode="0"/>
      <alignment horizontal="general" vertical="bottom" textRotation="0" wrapText="1" indent="0" justifyLastLine="0" shrinkToFit="0" readingOrder="0"/>
      <protection locked="0"/>
    </dxf>
    <dxf>
      <numFmt numFmtId="1" formatCode="0"/>
      <alignment horizontal="general" vertical="bottom" textRotation="0" wrapText="1" indent="0" justifyLastLine="0" shrinkToFit="0" readingOrder="0"/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alignment horizontal="center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alignment horizontal="left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alignment horizontal="center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alignment horizontal="left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alignment horizontal="center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alignment horizontal="left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alignment horizontal="center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alignment horizontal="left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numFmt numFmtId="0" formatCode="General"/>
      <protection locked="1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3"/>
        <color theme="1"/>
        <name val="Bahnschrift"/>
        <family val="2"/>
        <scheme val="none"/>
      </font>
      <protection locked="0"/>
    </dxf>
    <dxf>
      <font>
        <strike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1" indent="0" justifyLastLine="0" shrinkToFit="0" readingOrder="0"/>
      <protection locked="0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numFmt numFmtId="0" formatCode="General"/>
      <protection locked="1"/>
    </dxf>
    <dxf>
      <font>
        <name val="Bahnschrift"/>
      </font>
      <protection locked="1"/>
    </dxf>
    <dxf>
      <font>
        <name val="Bahnschrift"/>
      </font>
      <protection locked="1"/>
    </dxf>
    <dxf>
      <font>
        <name val="Bahnschrift"/>
      </font>
      <protection locked="1"/>
    </dxf>
    <dxf>
      <font>
        <name val="Bahnschrift"/>
      </font>
      <protection locked="1"/>
    </dxf>
    <dxf>
      <font>
        <name val="Bahnschrift"/>
      </font>
      <protection locked="1"/>
    </dxf>
    <dxf>
      <font>
        <name val="Bahnschrift"/>
      </font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minor"/>
      </font>
      <alignment horizontal="center" vertical="bottom" textRotation="0" wrapText="1" indent="0" justifyLastLine="0" shrinkToFit="0" readingOrder="0"/>
      <protection locked="1"/>
    </dxf>
    <dxf>
      <font>
        <name val="Bahnschrift"/>
      </font>
      <protection locked="1"/>
    </dxf>
    <dxf>
      <font>
        <name val="Bahnschrift"/>
      </font>
      <protection locked="1"/>
    </dxf>
    <dxf>
      <font>
        <name val="Bahnschrift"/>
      </font>
      <numFmt numFmtId="0" formatCode="General"/>
      <border outline="0">
        <left style="thin">
          <color indexed="64"/>
        </left>
      </border>
      <protection locked="1"/>
    </dxf>
    <dxf>
      <font>
        <sz val="12"/>
        <name val="Bahnschrift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rgb="FF000000"/>
        </right>
        <top/>
        <bottom/>
      </border>
      <protection locked="1"/>
    </dxf>
    <dxf>
      <font>
        <name val="Bahnschrift"/>
      </font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minor"/>
      </font>
      <alignment horizontal="left" vertical="bottom" textRotation="0" wrapText="0" indent="0" justifyLastLine="0" shrinkToFit="0" readingOrder="0"/>
      <protection locked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11</xdr:col>
      <xdr:colOff>228600</xdr:colOff>
      <xdr:row>225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0035-E607-0065-79B9-0CF8A573A689}"/>
            </a:ext>
          </a:extLst>
        </xdr:cNvPr>
        <xdr:cNvSpPr txBox="1"/>
      </xdr:nvSpPr>
      <xdr:spPr>
        <a:xfrm>
          <a:off x="38100" y="0"/>
          <a:ext cx="7305675" cy="451104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latin typeface="Bahnschrift" panose="020B0502040204020203" pitchFamily="34" charset="0"/>
            </a:rPr>
            <a:t>Pokémon Battle Compass</a:t>
          </a:r>
        </a:p>
        <a:p>
          <a:pPr algn="ctr"/>
          <a:r>
            <a:rPr lang="en-US" b="1">
              <a:latin typeface="Bahnschrift" panose="020B0502040204020203" pitchFamily="34" charset="0"/>
            </a:rPr>
            <a:t>Version 1.2</a:t>
          </a:r>
          <a:br>
            <a:rPr lang="en-US" b="1">
              <a:latin typeface="Bahnschrift" panose="020B0502040204020203" pitchFamily="34" charset="0"/>
            </a:rPr>
          </a:br>
          <a:r>
            <a:rPr lang="en-US" b="1">
              <a:latin typeface="Bahnschrift" panose="020B0502040204020203" pitchFamily="34" charset="0"/>
            </a:rPr>
            <a:t>Copyright</a:t>
          </a:r>
          <a:r>
            <a:rPr lang="en-US" b="1" baseline="0">
              <a:latin typeface="Bahnschrift" panose="020B0502040204020203" pitchFamily="34" charset="0"/>
            </a:rPr>
            <a:t> 2026 Cameron Powers</a:t>
          </a:r>
          <a:endParaRPr lang="en-US" b="1">
            <a:latin typeface="Bahnschrift" panose="020B0502040204020203" pitchFamily="34" charset="0"/>
          </a:endParaRPr>
        </a:p>
        <a:p>
          <a:br>
            <a:rPr lang="en-US">
              <a:latin typeface="Bahnschrift" panose="020B0502040204020203" pitchFamily="34" charset="0"/>
            </a:rPr>
          </a:br>
          <a:endParaRPr lang="en-US">
            <a:latin typeface="Bahnschrift" panose="020B0502040204020203" pitchFamily="34" charset="0"/>
          </a:endParaRPr>
        </a:p>
        <a:p>
          <a:r>
            <a:rPr lang="en-US" sz="1600" b="1">
              <a:latin typeface="Bahnschrift" panose="020B0502040204020203" pitchFamily="34" charset="0"/>
            </a:rPr>
            <a:t>Welcome!</a:t>
          </a:r>
        </a:p>
        <a:p>
          <a:r>
            <a:rPr lang="en-US" sz="1200">
              <a:latin typeface="Bahnschrift" panose="020B0502040204020203" pitchFamily="34" charset="0"/>
            </a:rPr>
            <a:t>Congratulations! You've discovered what happens when a data analyst asks the perfectly reasonable question:</a:t>
          </a:r>
        </a:p>
        <a:p>
          <a:r>
            <a:rPr lang="en-US" sz="1200" i="1">
              <a:latin typeface="Bahnschrift" panose="020B0502040204020203" pitchFamily="34" charset="0"/>
            </a:rPr>
            <a:t>"Could I use Excel to tell me which Pokémon should be sent into battle?"</a:t>
          </a:r>
          <a:endParaRPr lang="en-US" sz="1200">
            <a:latin typeface="Bahnschrift" panose="020B0502040204020203" pitchFamily="34" charset="0"/>
          </a:endParaRPr>
        </a:p>
        <a:p>
          <a:r>
            <a:rPr lang="en-US" sz="1200">
              <a:latin typeface="Bahnschrift" panose="020B0502040204020203" pitchFamily="34" charset="0"/>
            </a:rPr>
            <a:t>Several thousand formulas, an alarming amount of coffee, and an entirely irresponsible number of hours later... here we are.</a:t>
          </a:r>
        </a:p>
        <a:p>
          <a:r>
            <a:rPr lang="en-US" sz="1200">
              <a:latin typeface="Bahnschrift" panose="020B0502040204020203" pitchFamily="34" charset="0"/>
            </a:rPr>
            <a:t>Battle Compass is a </a:t>
          </a:r>
          <a:r>
            <a:rPr lang="en-US" sz="1200" b="1">
              <a:latin typeface="Bahnschrift" panose="020B0502040204020203" pitchFamily="34" charset="0"/>
            </a:rPr>
            <a:t>fan-made Pokémon Sword matchup analysis tool</a:t>
          </a:r>
          <a:r>
            <a:rPr lang="en-US" sz="1200">
              <a:latin typeface="Bahnschrift" panose="020B0502040204020203" pitchFamily="34" charset="0"/>
            </a:rPr>
            <a:t> designed to recommend the safest and most effective Pokémon to send into a </a:t>
          </a:r>
          <a:r>
            <a:rPr lang="en-US" sz="1200" b="1">
              <a:latin typeface="Bahnschrift" panose="020B0502040204020203" pitchFamily="34" charset="0"/>
            </a:rPr>
            <a:t>single battle</a:t>
          </a:r>
          <a:r>
            <a:rPr lang="en-US" sz="1200">
              <a:latin typeface="Bahnschrift" panose="020B0502040204020203" pitchFamily="34" charset="0"/>
            </a:rPr>
            <a:t> based on the current matchup.</a:t>
          </a:r>
        </a:p>
        <a:p>
          <a:r>
            <a:rPr lang="en-US" sz="1200">
              <a:latin typeface="Bahnschrift" panose="020B0502040204020203" pitchFamily="34" charset="0"/>
            </a:rPr>
            <a:t>It is not a battle simulator.</a:t>
          </a:r>
        </a:p>
        <a:p>
          <a:r>
            <a:rPr lang="en-US" sz="1200">
              <a:latin typeface="Bahnschrift" panose="020B0502040204020203" pitchFamily="34" charset="0"/>
            </a:rPr>
            <a:t>It is not an AI.</a:t>
          </a:r>
        </a:p>
        <a:p>
          <a:r>
            <a:rPr lang="en-US" sz="1200">
              <a:latin typeface="Bahnschrift" panose="020B0502040204020203" pitchFamily="34" charset="0"/>
            </a:rPr>
            <a:t>It definitely isn't competitive battle software.</a:t>
          </a:r>
        </a:p>
        <a:p>
          <a:r>
            <a:rPr lang="en-US" sz="1200">
              <a:latin typeface="Bahnschrift" panose="020B0502040204020203" pitchFamily="34" charset="0"/>
            </a:rPr>
            <a:t>It's an aggressively over-engineered spreadsheet.</a:t>
          </a:r>
        </a:p>
        <a:p>
          <a:r>
            <a:rPr lang="en-US" sz="1200">
              <a:latin typeface="Bahnschrift" panose="020B0502040204020203" pitchFamily="34" charset="0"/>
            </a:rPr>
            <a:t>I'm weirdly proud of it.</a:t>
          </a:r>
        </a:p>
        <a:p>
          <a:r>
            <a:rPr lang="en-US" sz="1200">
              <a:latin typeface="Bahnschrift" panose="020B0502040204020203" pitchFamily="34" charset="0"/>
            </a:rPr>
            <a:t>(Scroll down for directions for use if</a:t>
          </a:r>
          <a:r>
            <a:rPr lang="en-US" sz="1200" baseline="0">
              <a:latin typeface="Bahnschrift" panose="020B0502040204020203" pitchFamily="34" charset="0"/>
            </a:rPr>
            <a:t> you don't care about the context. Weirdo.)</a:t>
          </a:r>
          <a:endParaRPr lang="en-US" sz="1200">
            <a:latin typeface="Bahnschrift" panose="020B0502040204020203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chemeClr val="dk1"/>
            </a:solidFill>
            <a:effectLst/>
            <a:latin typeface="Bahnschrift" panose="020B0502040204020203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n-US" sz="1100" b="1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</a:br>
          <a:r>
            <a:rPr lang="en-US" sz="1600" b="1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Current Scope</a:t>
          </a:r>
        </a:p>
        <a:p>
          <a:r>
            <a:rPr lang="en-US" sz="1200">
              <a:latin typeface="Bahnschrift" panose="020B0502040204020203" pitchFamily="34" charset="0"/>
            </a:rPr>
            <a:t>Battle Compass currently supports:</a:t>
          </a:r>
        </a:p>
        <a:p>
          <a:r>
            <a:rPr lang="en-US" sz="1200">
              <a:latin typeface="Bahnschrift" panose="020B0502040204020203" pitchFamily="34" charset="0"/>
            </a:rPr>
            <a:t>-Pokémon </a:t>
          </a:r>
          <a:r>
            <a:rPr lang="en-US" sz="1200">
              <a:solidFill>
                <a:schemeClr val="tx2">
                  <a:lumMod val="50000"/>
                  <a:lumOff val="50000"/>
                </a:schemeClr>
              </a:solidFill>
              <a:latin typeface="Bahnschrift" panose="020B0502040204020203" pitchFamily="34" charset="0"/>
            </a:rPr>
            <a:t>Sword</a:t>
          </a:r>
          <a:r>
            <a:rPr lang="en-US" sz="1200">
              <a:latin typeface="Bahnschrift" panose="020B0502040204020203" pitchFamily="34" charset="0"/>
            </a:rPr>
            <a:t> </a:t>
          </a:r>
        </a:p>
        <a:p>
          <a:r>
            <a:rPr lang="en-US" sz="1200">
              <a:latin typeface="Bahnschrift" panose="020B0502040204020203" pitchFamily="34" charset="0"/>
            </a:rPr>
            <a:t>-Story battles </a:t>
          </a:r>
        </a:p>
        <a:p>
          <a:r>
            <a:rPr lang="en-US" sz="1200">
              <a:latin typeface="Bahnschrift" panose="020B0502040204020203" pitchFamily="34" charset="0"/>
            </a:rPr>
            <a:t>-Postgame Gym Leader rematches </a:t>
          </a:r>
        </a:p>
        <a:p>
          <a:r>
            <a:rPr lang="en-US" sz="1200">
              <a:latin typeface="Bahnschrift" panose="020B0502040204020203" pitchFamily="34" charset="0"/>
            </a:rPr>
            <a:t>-Postgame story battles </a:t>
          </a:r>
        </a:p>
        <a:p>
          <a:endParaRPr lang="en-US" sz="1200">
            <a:latin typeface="Bahnschrift" panose="020B0502040204020203" pitchFamily="34" charset="0"/>
          </a:endParaRPr>
        </a:p>
        <a:p>
          <a:r>
            <a:rPr lang="en-US" sz="1200">
              <a:latin typeface="Bahnschrift" panose="020B0502040204020203" pitchFamily="34" charset="0"/>
            </a:rPr>
            <a:t>Current scope intentionally does </a:t>
          </a:r>
          <a:r>
            <a:rPr lang="en-US" sz="1200" b="1">
              <a:latin typeface="Bahnschrift" panose="020B0502040204020203" pitchFamily="34" charset="0"/>
            </a:rPr>
            <a:t>not</a:t>
          </a:r>
          <a:r>
            <a:rPr lang="en-US" sz="1200">
              <a:latin typeface="Bahnschrift" panose="020B0502040204020203" pitchFamily="34" charset="0"/>
            </a:rPr>
            <a:t> include:</a:t>
          </a:r>
        </a:p>
        <a:p>
          <a:r>
            <a:rPr lang="en-US" sz="1200">
              <a:latin typeface="Bahnschrift" panose="020B0502040204020203" pitchFamily="34" charset="0"/>
            </a:rPr>
            <a:t>-Pokémon </a:t>
          </a:r>
          <a:r>
            <a:rPr lang="en-US" sz="1200">
              <a:solidFill>
                <a:srgbClr val="C00000"/>
              </a:solidFill>
              <a:latin typeface="Bahnschrift" panose="020B0502040204020203" pitchFamily="34" charset="0"/>
            </a:rPr>
            <a:t>Shield</a:t>
          </a:r>
          <a:r>
            <a:rPr lang="en-US" sz="1200">
              <a:latin typeface="Bahnschrift" panose="020B0502040204020203" pitchFamily="34" charset="0"/>
            </a:rPr>
            <a:t> </a:t>
          </a:r>
        </a:p>
        <a:p>
          <a:r>
            <a:rPr lang="en-US" sz="1200">
              <a:latin typeface="Bahnschrift" panose="020B0502040204020203" pitchFamily="34" charset="0"/>
            </a:rPr>
            <a:t>-Battle Tower </a:t>
          </a:r>
        </a:p>
        <a:p>
          <a:r>
            <a:rPr lang="en-US" sz="1200">
              <a:latin typeface="Bahnschrift" panose="020B0502040204020203" pitchFamily="34" charset="0"/>
            </a:rPr>
            <a:t>-Max Raid Battles </a:t>
          </a:r>
        </a:p>
        <a:p>
          <a:r>
            <a:rPr lang="en-US" sz="1200">
              <a:latin typeface="Bahnschrift" panose="020B0502040204020203" pitchFamily="34" charset="0"/>
            </a:rPr>
            <a:t>-Dynamax Adventures </a:t>
          </a:r>
        </a:p>
        <a:p>
          <a:r>
            <a:rPr lang="en-US" sz="1200">
              <a:latin typeface="Bahnschrift" panose="020B0502040204020203" pitchFamily="34" charset="0"/>
            </a:rPr>
            <a:t>-DLC-exclusive battles </a:t>
          </a:r>
        </a:p>
        <a:p>
          <a:r>
            <a:rPr lang="en-US" sz="1200">
              <a:latin typeface="Bahnschrift" panose="020B0502040204020203" pitchFamily="34" charset="0"/>
            </a:rPr>
            <a:t>-Double battles </a:t>
          </a:r>
        </a:p>
        <a:p>
          <a:r>
            <a:rPr lang="en-US" sz="1200">
              <a:latin typeface="Bahnschrift" panose="020B0502040204020203" pitchFamily="34" charset="0"/>
            </a:rPr>
            <a:t>-Multi Battles </a:t>
          </a:r>
        </a:p>
        <a:p>
          <a:endParaRPr lang="en-US" sz="1200">
            <a:latin typeface="Bahnschrift" panose="020B0502040204020203" pitchFamily="34" charset="0"/>
          </a:endParaRPr>
        </a:p>
        <a:p>
          <a:r>
            <a:rPr lang="en-US" sz="1200">
              <a:latin typeface="Bahnschrift" panose="020B0502040204020203" pitchFamily="34" charset="0"/>
            </a:rPr>
            <a:t>Adding Shield support should be relatively straightforward in a future release, but for now Battle Compass focuses on validating one complete game before expanding further.</a:t>
          </a:r>
        </a:p>
        <a:p>
          <a:endParaRPr lang="en-US" sz="1200">
            <a:latin typeface="Bahnschrift" panose="020B0502040204020203" pitchFamily="34" charset="0"/>
          </a:endParaRPr>
        </a:p>
        <a:p>
          <a:endParaRPr lang="en-US" sz="1200">
            <a:latin typeface="Bahnschrift" panose="020B0502040204020203" pitchFamily="34" charset="0"/>
          </a:endParaRPr>
        </a:p>
        <a:p>
          <a:r>
            <a:rPr lang="en-US" sz="1600" b="1">
              <a:latin typeface="Bahnschrift" panose="020B0502040204020203" pitchFamily="34" charset="0"/>
            </a:rPr>
            <a:t>What Battle Compass Does</a:t>
          </a:r>
        </a:p>
        <a:p>
          <a:r>
            <a:rPr lang="en-US" sz="1200">
              <a:latin typeface="Bahnschrift" panose="020B0502040204020203" pitchFamily="34" charset="0"/>
            </a:rPr>
            <a:t>For the currently active opposing Pokémon, Battle Compass evaluates each member of your team and estimates:</a:t>
          </a:r>
        </a:p>
        <a:p>
          <a:r>
            <a:rPr lang="en-US" sz="1200">
              <a:latin typeface="Bahnschrift" panose="020B0502040204020203" pitchFamily="34" charset="0"/>
            </a:rPr>
            <a:t>-Offensive damage potential</a:t>
          </a:r>
        </a:p>
        <a:p>
          <a:r>
            <a:rPr lang="en-US" sz="1200">
              <a:latin typeface="Bahnschrift" panose="020B0502040204020203" pitchFamily="34" charset="0"/>
            </a:rPr>
            <a:t>-Incoming damage risk</a:t>
          </a:r>
        </a:p>
        <a:p>
          <a:r>
            <a:rPr lang="en-US" sz="1200">
              <a:latin typeface="Bahnschrift" panose="020B0502040204020203" pitchFamily="34" charset="0"/>
            </a:rPr>
            <a:t>-STAB</a:t>
          </a:r>
        </a:p>
        <a:p>
          <a:r>
            <a:rPr lang="en-US" sz="1200">
              <a:latin typeface="Bahnschrift" panose="020B0502040204020203" pitchFamily="34" charset="0"/>
            </a:rPr>
            <a:t>-Type effectiveness</a:t>
          </a:r>
        </a:p>
        <a:p>
          <a:r>
            <a:rPr lang="en-US" sz="1200">
              <a:latin typeface="Bahnschrift" panose="020B0502040204020203" pitchFamily="34" charset="0"/>
            </a:rPr>
            <a:t>-Known ability interactions</a:t>
          </a:r>
        </a:p>
        <a:p>
          <a:r>
            <a:rPr lang="en-US" sz="1200">
              <a:latin typeface="Bahnschrift" panose="020B0502040204020203" pitchFamily="34" charset="0"/>
            </a:rPr>
            <a:t>-Priority move awareness</a:t>
          </a:r>
        </a:p>
        <a:p>
          <a:r>
            <a:rPr lang="en-US" sz="1200">
              <a:latin typeface="Bahnschrift" panose="020B0502040204020203" pitchFamily="34" charset="0"/>
            </a:rPr>
            <a:t>-HP-aware OHKO potential</a:t>
          </a:r>
        </a:p>
        <a:p>
          <a:r>
            <a:rPr lang="en-US" sz="1200">
              <a:latin typeface="Bahnschrift" panose="020B0502040204020203" pitchFamily="34" charset="0"/>
            </a:rPr>
            <a:t>-Survival OHKO opportunities</a:t>
          </a:r>
        </a:p>
        <a:p>
          <a:r>
            <a:rPr lang="en-US" sz="1200">
              <a:latin typeface="Bahnschrift" panose="020B0502040204020203" pitchFamily="34" charset="0"/>
            </a:rPr>
            <a:t>-Tactical move and ability warnings</a:t>
          </a:r>
        </a:p>
        <a:p>
          <a:endParaRPr lang="en-US" sz="1200">
            <a:latin typeface="Bahnschrift" panose="020B0502040204020203" pitchFamily="34" charset="0"/>
          </a:endParaRPr>
        </a:p>
        <a:p>
          <a:r>
            <a:rPr lang="en-US" sz="1200">
              <a:latin typeface="Bahnschrift" panose="020B0502040204020203" pitchFamily="34" charset="0"/>
            </a:rPr>
            <a:t>It then recommends the Pokémon that offers the best overall balance of offense and survivability.</a:t>
          </a:r>
        </a:p>
        <a:p>
          <a:r>
            <a:rPr lang="en-US" sz="1200">
              <a:latin typeface="Bahnschrift" panose="020B0502040204020203" pitchFamily="34" charset="0"/>
            </a:rPr>
            <a:t>The recommendation intentionally favors </a:t>
          </a:r>
          <a:r>
            <a:rPr lang="en-US" sz="1200" b="1">
              <a:latin typeface="Bahnschrift" panose="020B0502040204020203" pitchFamily="34" charset="0"/>
            </a:rPr>
            <a:t>safe, reliable plays</a:t>
          </a:r>
          <a:r>
            <a:rPr lang="en-US" sz="1200">
              <a:latin typeface="Bahnschrift" panose="020B0502040204020203" pitchFamily="34" charset="0"/>
            </a:rPr>
            <a:t> over flashy "if everything goes perfectly" strategies.</a:t>
          </a:r>
        </a:p>
        <a:p>
          <a:br>
            <a:rPr lang="en-US" sz="1200">
              <a:latin typeface="Bahnschrift" panose="020B0502040204020203" pitchFamily="34" charset="0"/>
            </a:rPr>
          </a:br>
          <a:endParaRPr lang="en-US" sz="1200">
            <a:latin typeface="Bahnschrift" panose="020B0502040204020203" pitchFamily="34" charset="0"/>
          </a:endParaRPr>
        </a:p>
        <a:p>
          <a:r>
            <a:rPr lang="en-US" sz="1600" b="1">
              <a:latin typeface="Bahnschrift" panose="020B0502040204020203" pitchFamily="34" charset="0"/>
            </a:rPr>
            <a:t>What Battle Compass Does NOT Do</a:t>
          </a:r>
        </a:p>
        <a:p>
          <a:r>
            <a:rPr lang="en-US" sz="1200">
              <a:latin typeface="Bahnschrift" panose="020B0502040204020203" pitchFamily="34" charset="0"/>
            </a:rPr>
            <a:t>Battle Compass intentionally ignores or simplifies many mechanics.</a:t>
          </a:r>
        </a:p>
        <a:p>
          <a:r>
            <a:rPr lang="en-US" sz="1200">
              <a:latin typeface="Bahnschrift" panose="020B0502040204020203" pitchFamily="34" charset="0"/>
            </a:rPr>
            <a:t>This is by design.</a:t>
          </a:r>
        </a:p>
        <a:p>
          <a:r>
            <a:rPr lang="en-US" sz="1200">
              <a:latin typeface="Bahnschrift" panose="020B0502040204020203" pitchFamily="34" charset="0"/>
            </a:rPr>
            <a:t>Current scope excludes:</a:t>
          </a:r>
        </a:p>
        <a:p>
          <a:r>
            <a:rPr lang="en-US" sz="1200">
              <a:latin typeface="Bahnschrift" panose="020B0502040204020203" pitchFamily="34" charset="0"/>
            </a:rPr>
            <a:t>-Weather</a:t>
          </a:r>
        </a:p>
        <a:p>
          <a:r>
            <a:rPr lang="en-US" sz="1200">
              <a:latin typeface="Bahnschrift" panose="020B0502040204020203" pitchFamily="34" charset="0"/>
            </a:rPr>
            <a:t>-Terrain</a:t>
          </a:r>
        </a:p>
        <a:p>
          <a:r>
            <a:rPr lang="en-US" sz="1200">
              <a:latin typeface="Bahnschrift" panose="020B0502040204020203" pitchFamily="34" charset="0"/>
            </a:rPr>
            <a:t>-Held Items</a:t>
          </a:r>
        </a:p>
        <a:p>
          <a:r>
            <a:rPr lang="en-US" sz="1200">
              <a:latin typeface="Bahnschrift" panose="020B0502040204020203" pitchFamily="34" charset="0"/>
            </a:rPr>
            <a:t>-Critical hits</a:t>
          </a:r>
        </a:p>
        <a:p>
          <a:r>
            <a:rPr lang="en-US" sz="1200">
              <a:latin typeface="Bahnschrift" panose="020B0502040204020203" pitchFamily="34" charset="0"/>
            </a:rPr>
            <a:t>-Random damage rolls</a:t>
          </a:r>
        </a:p>
        <a:p>
          <a:r>
            <a:rPr lang="en-US" sz="1200">
              <a:latin typeface="Bahnschrift" panose="020B0502040204020203" pitchFamily="34" charset="0"/>
            </a:rPr>
            <a:t>-Stat boosts/drops during battle</a:t>
          </a:r>
        </a:p>
        <a:p>
          <a:r>
            <a:rPr lang="en-US" sz="1200">
              <a:latin typeface="Bahnschrift" panose="020B0502040204020203" pitchFamily="34" charset="0"/>
            </a:rPr>
            <a:t>-Accuracy/evasion changes</a:t>
          </a:r>
        </a:p>
        <a:p>
          <a:r>
            <a:rPr lang="en-US" sz="1200">
              <a:latin typeface="Bahnschrift" panose="020B0502040204020203" pitchFamily="34" charset="0"/>
            </a:rPr>
            <a:t>-Multi-turn planning</a:t>
          </a:r>
        </a:p>
        <a:p>
          <a:r>
            <a:rPr lang="en-US" sz="1200">
              <a:latin typeface="Bahnschrift" panose="020B0502040204020203" pitchFamily="34" charset="0"/>
            </a:rPr>
            <a:t>-Double battles</a:t>
          </a:r>
        </a:p>
        <a:p>
          <a:r>
            <a:rPr lang="en-US" sz="1200">
              <a:latin typeface="Bahnschrift" panose="020B0502040204020203" pitchFamily="34" charset="0"/>
            </a:rPr>
            <a:t>-Raid battles</a:t>
          </a:r>
        </a:p>
        <a:p>
          <a:r>
            <a:rPr lang="en-US" sz="1200">
              <a:latin typeface="Bahnschrift" panose="020B0502040204020203" pitchFamily="34" charset="0"/>
            </a:rPr>
            <a:t>-Prediction ("I bet the AI will...")</a:t>
          </a:r>
        </a:p>
        <a:p>
          <a:r>
            <a:rPr lang="en-US" sz="1200">
              <a:latin typeface="Bahnschrift" panose="020B0502040204020203" pitchFamily="34" charset="0"/>
            </a:rPr>
            <a:t>-The emotional damage caused by Shuckle</a:t>
          </a:r>
        </a:p>
        <a:p>
          <a:endParaRPr lang="en-US" sz="1200">
            <a:latin typeface="Bahnschrift" panose="020B0502040204020203" pitchFamily="34" charset="0"/>
          </a:endParaRPr>
        </a:p>
        <a:p>
          <a:r>
            <a:rPr lang="en-US" sz="1200">
              <a:latin typeface="Bahnschrift" panose="020B0502040204020203" pitchFamily="34" charset="0"/>
            </a:rPr>
            <a:t>The goal is consistency—not perfect simulation.</a:t>
          </a:r>
        </a:p>
        <a:p>
          <a:br>
            <a:rPr lang="en-US" sz="1200">
              <a:latin typeface="Bahnschrift" panose="020B0502040204020203" pitchFamily="34" charset="0"/>
            </a:rPr>
          </a:br>
          <a:endParaRPr lang="en-US" sz="1200">
            <a:latin typeface="Bahnschrift" panose="020B0502040204020203" pitchFamily="34" charset="0"/>
          </a:endParaRPr>
        </a:p>
        <a:p>
          <a:r>
            <a:rPr lang="en-US" sz="1600" b="1">
              <a:latin typeface="Bahnschrift" panose="020B0502040204020203" pitchFamily="34" charset="0"/>
            </a:rPr>
            <a:t>Using Battle Compass</a:t>
          </a:r>
        </a:p>
        <a:p>
          <a:r>
            <a:rPr lang="en-US" sz="1200">
              <a:latin typeface="Bahnschrift" panose="020B0502040204020203" pitchFamily="34" charset="0"/>
            </a:rPr>
            <a:t>Update your current team on the </a:t>
          </a:r>
          <a:r>
            <a:rPr lang="en-US" sz="1200" b="1">
              <a:latin typeface="Bahnschrift" panose="020B0502040204020203" pitchFamily="34" charset="0"/>
            </a:rPr>
            <a:t>Team Data</a:t>
          </a:r>
          <a:r>
            <a:rPr lang="en-US" sz="1200">
              <a:latin typeface="Bahnschrift" panose="020B0502040204020203" pitchFamily="34" charset="0"/>
            </a:rPr>
            <a:t> sheet.</a:t>
          </a:r>
        </a:p>
        <a:p>
          <a:r>
            <a:rPr lang="en-US" sz="1200">
              <a:latin typeface="Bahnschrift" panose="020B0502040204020203" pitchFamily="34" charset="0"/>
            </a:rPr>
            <a:t>-Current HP and</a:t>
          </a:r>
          <a:r>
            <a:rPr lang="en-US" sz="1200" baseline="0">
              <a:latin typeface="Bahnschrift" panose="020B0502040204020203" pitchFamily="34" charset="0"/>
            </a:rPr>
            <a:t> stats should be updated upon level-up.</a:t>
          </a:r>
        </a:p>
        <a:p>
          <a:r>
            <a:rPr lang="en-US" sz="1200" baseline="0">
              <a:latin typeface="Bahnschrift" panose="020B0502040204020203" pitchFamily="34" charset="0"/>
            </a:rPr>
            <a:t>-</a:t>
          </a:r>
          <a:r>
            <a:rPr lang="en-US" sz="1200">
              <a:latin typeface="Bahnschrift" panose="020B0502040204020203" pitchFamily="34" charset="0"/>
            </a:rPr>
            <a:t>Moves should reflect your actual moveset.</a:t>
          </a:r>
        </a:p>
        <a:p>
          <a:r>
            <a:rPr lang="en-US" sz="1200">
              <a:latin typeface="Bahnschrift" panose="020B0502040204020203" pitchFamily="34" charset="0"/>
            </a:rPr>
            <a:t>-Held Items should be accurate and updated</a:t>
          </a:r>
          <a:r>
            <a:rPr lang="en-US" sz="1200" baseline="0">
              <a:latin typeface="Bahnschrift" panose="020B0502040204020203" pitchFamily="34" charset="0"/>
            </a:rPr>
            <a:t> whenever changed</a:t>
          </a:r>
        </a:p>
        <a:p>
          <a:r>
            <a:rPr lang="en-US" sz="1200" baseline="0">
              <a:latin typeface="Bahnschrift" panose="020B0502040204020203" pitchFamily="34" charset="0"/>
            </a:rPr>
            <a:t>-Ability should also be acurate</a:t>
          </a:r>
          <a:endParaRPr lang="en-US" sz="1200">
            <a:latin typeface="Bahnschrift" panose="020B0502040204020203" pitchFamily="34" charset="0"/>
          </a:endParaRPr>
        </a:p>
        <a:p>
          <a:endParaRPr lang="en-US" sz="1200">
            <a:latin typeface="Bahnschrift" panose="020B0502040204020203" pitchFamily="34" charset="0"/>
          </a:endParaRPr>
        </a:p>
        <a:p>
          <a:r>
            <a:rPr lang="en-US" sz="1200">
              <a:latin typeface="Bahnschrift" panose="020B0502040204020203" pitchFamily="34" charset="0"/>
            </a:rPr>
            <a:t>On the </a:t>
          </a:r>
          <a:r>
            <a:rPr lang="en-US" sz="1200" b="1">
              <a:latin typeface="Bahnschrift" panose="020B0502040204020203" pitchFamily="34" charset="0"/>
            </a:rPr>
            <a:t>Compass</a:t>
          </a:r>
          <a:r>
            <a:rPr lang="en-US" sz="1200" b="1" baseline="0">
              <a:latin typeface="Bahnschrift" panose="020B0502040204020203" pitchFamily="34" charset="0"/>
            </a:rPr>
            <a:t> </a:t>
          </a:r>
          <a:r>
            <a:rPr lang="en-US" sz="1200" b="0" baseline="0">
              <a:latin typeface="Bahnschrift" panose="020B0502040204020203" pitchFamily="34" charset="0"/>
            </a:rPr>
            <a:t>sheet</a:t>
          </a:r>
          <a:r>
            <a:rPr lang="en-US" sz="1200" b="1" baseline="0">
              <a:latin typeface="Bahnschrift" panose="020B0502040204020203" pitchFamily="34" charset="0"/>
            </a:rPr>
            <a:t>, </a:t>
          </a:r>
          <a:r>
            <a:rPr lang="en-US" sz="1200" b="0" baseline="0">
              <a:latin typeface="Bahnschrift" panose="020B0502040204020203" pitchFamily="34" charset="0"/>
            </a:rPr>
            <a:t>s</a:t>
          </a:r>
          <a:r>
            <a:rPr lang="en-US" sz="1200" b="0">
              <a:latin typeface="Bahnschrift" panose="020B0502040204020203" pitchFamily="34" charset="0"/>
            </a:rPr>
            <a:t>elect</a:t>
          </a:r>
          <a:r>
            <a:rPr lang="en-US" sz="1200">
              <a:latin typeface="Bahnschrift" panose="020B0502040204020203" pitchFamily="34" charset="0"/>
            </a:rPr>
            <a:t>:</a:t>
          </a:r>
        </a:p>
        <a:p>
          <a:r>
            <a:rPr lang="en-US" sz="1200">
              <a:latin typeface="Bahnschrift" panose="020B0502040204020203" pitchFamily="34" charset="0"/>
            </a:rPr>
            <a:t>-Trainer</a:t>
          </a:r>
        </a:p>
        <a:p>
          <a:r>
            <a:rPr lang="en-US" sz="1200">
              <a:latin typeface="Bahnschrift" panose="020B0502040204020203" pitchFamily="34" charset="0"/>
            </a:rPr>
            <a:t>-Battle</a:t>
          </a:r>
        </a:p>
        <a:p>
          <a:r>
            <a:rPr lang="en-US" sz="1200">
              <a:latin typeface="Bahnschrift" panose="020B0502040204020203" pitchFamily="34" charset="0"/>
            </a:rPr>
            <a:t>-Opposing Pokémon</a:t>
          </a:r>
        </a:p>
        <a:p>
          <a:endParaRPr lang="en-US" sz="1200">
            <a:latin typeface="Bahnschrift" panose="020B0502040204020203" pitchFamily="34" charset="0"/>
          </a:endParaRPr>
        </a:p>
        <a:p>
          <a:r>
            <a:rPr lang="en-US" sz="1200">
              <a:latin typeface="Bahnschrift" panose="020B0502040204020203" pitchFamily="34" charset="0"/>
            </a:rPr>
            <a:t>Read the recommendation.</a:t>
          </a:r>
        </a:p>
        <a:p>
          <a:r>
            <a:rPr lang="en-US" sz="1200">
              <a:latin typeface="Bahnschrift" panose="020B0502040204020203" pitchFamily="34" charset="0"/>
            </a:rPr>
            <a:t>That's it.</a:t>
          </a:r>
        </a:p>
        <a:p>
          <a:r>
            <a:rPr lang="en-US" sz="1200">
              <a:latin typeface="Bahnschrift" panose="020B0502040204020203" pitchFamily="34" charset="0"/>
            </a:rPr>
            <a:t>Seriously.</a:t>
          </a:r>
        </a:p>
        <a:p>
          <a:r>
            <a:rPr lang="en-US" sz="1200">
              <a:latin typeface="Bahnschrift" panose="020B0502040204020203" pitchFamily="34" charset="0"/>
            </a:rPr>
            <a:t>Everything else happens automatically.</a:t>
          </a:r>
        </a:p>
        <a:p>
          <a:br>
            <a:rPr lang="en-US" sz="1200">
              <a:latin typeface="Bahnschrift" panose="020B0502040204020203" pitchFamily="34" charset="0"/>
            </a:rPr>
          </a:br>
          <a:endParaRPr lang="en-US" sz="1200">
            <a:latin typeface="Bahnschrift" panose="020B0502040204020203" pitchFamily="34" charset="0"/>
          </a:endParaRPr>
        </a:p>
        <a:p>
          <a:r>
            <a:rPr lang="en-US" sz="1600" b="1">
              <a:latin typeface="Bahnschrift" panose="020B0502040204020203" pitchFamily="34" charset="0"/>
            </a:rPr>
            <a:t>Understanding the Recommendation</a:t>
          </a:r>
        </a:p>
        <a:p>
          <a:r>
            <a:rPr lang="en-US" sz="1400" b="1">
              <a:latin typeface="Bahnschrift" panose="020B0502040204020203" pitchFamily="34" charset="0"/>
            </a:rPr>
            <a:t>Suggested Pokémon</a:t>
          </a:r>
        </a:p>
        <a:p>
          <a:r>
            <a:rPr lang="en-US" sz="1200">
              <a:latin typeface="Bahnschrift" panose="020B0502040204020203" pitchFamily="34" charset="0"/>
            </a:rPr>
            <a:t>The recommended lead/switch-in based on current battle conditions.</a:t>
          </a:r>
        </a:p>
        <a:p>
          <a:endParaRPr lang="en-US" sz="1400" b="1">
            <a:latin typeface="Bahnschrift" panose="020B0502040204020203" pitchFamily="34" charset="0"/>
          </a:endParaRPr>
        </a:p>
        <a:p>
          <a:r>
            <a:rPr lang="en-US" sz="1400" b="1">
              <a:latin typeface="Bahnschrift" panose="020B0502040204020203" pitchFamily="34" charset="0"/>
            </a:rPr>
            <a:t>"Why?"</a:t>
          </a:r>
        </a:p>
        <a:p>
          <a:r>
            <a:rPr lang="en-US" sz="1200">
              <a:latin typeface="Bahnschrift" panose="020B0502040204020203" pitchFamily="34" charset="0"/>
            </a:rPr>
            <a:t>A short explanation describing why this Pokémon was selected.</a:t>
          </a:r>
        </a:p>
        <a:p>
          <a:r>
            <a:rPr lang="en-US" sz="1200">
              <a:latin typeface="Bahnschrift" panose="020B0502040204020203" pitchFamily="34" charset="0"/>
            </a:rPr>
            <a:t>Examples:</a:t>
          </a:r>
        </a:p>
        <a:p>
          <a:r>
            <a:rPr lang="en-US" sz="1200">
              <a:latin typeface="Bahnschrift" panose="020B0502040204020203" pitchFamily="34" charset="0"/>
            </a:rPr>
            <a:t>-Best balance of damage and durability.</a:t>
          </a:r>
        </a:p>
        <a:p>
          <a:r>
            <a:rPr lang="en-US" sz="1200">
              <a:latin typeface="Bahnschrift" panose="020B0502040204020203" pitchFamily="34" charset="0"/>
            </a:rPr>
            <a:t>-Overwhelming offensive advantage.</a:t>
          </a:r>
        </a:p>
        <a:p>
          <a:r>
            <a:rPr lang="en-US" sz="1200">
              <a:latin typeface="Bahnschrift" panose="020B0502040204020203" pitchFamily="34" charset="0"/>
            </a:rPr>
            <a:t>-Ability grants complete immunity.</a:t>
          </a:r>
        </a:p>
        <a:p>
          <a:br>
            <a:rPr lang="en-US" sz="1200">
              <a:latin typeface="Bahnschrift" panose="020B0502040204020203" pitchFamily="34" charset="0"/>
            </a:rPr>
          </a:br>
          <a:endParaRPr lang="en-US" sz="1200">
            <a:latin typeface="Bahnschrift" panose="020B0502040204020203" pitchFamily="34" charset="0"/>
          </a:endParaRPr>
        </a:p>
        <a:p>
          <a:r>
            <a:rPr lang="en-US" sz="1600" b="1">
              <a:latin typeface="Bahnschrift" panose="020B0502040204020203" pitchFamily="34" charset="0"/>
            </a:rPr>
            <a:t>Understanding Notes</a:t>
          </a:r>
        </a:p>
        <a:p>
          <a:r>
            <a:rPr lang="en-US" sz="1200">
              <a:latin typeface="Bahnschrift" panose="020B0502040204020203" pitchFamily="34" charset="0"/>
            </a:rPr>
            <a:t>Notes provide tactical context for Pokémon that were </a:t>
          </a:r>
          <a:r>
            <a:rPr lang="en-US" sz="1200" b="1">
              <a:latin typeface="Bahnschrift" panose="020B0502040204020203" pitchFamily="34" charset="0"/>
            </a:rPr>
            <a:t>not</a:t>
          </a:r>
          <a:r>
            <a:rPr lang="en-US" sz="1200">
              <a:latin typeface="Bahnschrift" panose="020B0502040204020203" pitchFamily="34" charset="0"/>
            </a:rPr>
            <a:t> recommended.</a:t>
          </a:r>
        </a:p>
        <a:p>
          <a:r>
            <a:rPr lang="en-US" sz="1200">
              <a:latin typeface="Bahnschrift" panose="020B0502040204020203" pitchFamily="34" charset="0"/>
            </a:rPr>
            <a:t>Think of them as the experienced trainer leaning over your shoulder saying:</a:t>
          </a:r>
        </a:p>
        <a:p>
          <a:r>
            <a:rPr lang="en-US" sz="1200">
              <a:latin typeface="Bahnschrift" panose="020B0502040204020203" pitchFamily="34" charset="0"/>
            </a:rPr>
            <a:t>"Yeah... but don't forget..."</a:t>
          </a:r>
        </a:p>
        <a:p>
          <a:r>
            <a:rPr lang="en-US" sz="1200">
              <a:latin typeface="Bahnschrift" panose="020B0502040204020203" pitchFamily="34" charset="0"/>
            </a:rPr>
            <a:t>Possible Notes include:</a:t>
          </a:r>
        </a:p>
        <a:p>
          <a:r>
            <a:rPr lang="en-US" sz="1400" b="1">
              <a:latin typeface="Bahnschrift" panose="020B0502040204020203" pitchFamily="34" charset="0"/>
            </a:rPr>
            <a:t>Offensive</a:t>
          </a:r>
        </a:p>
        <a:p>
          <a:r>
            <a:rPr lang="en-US" sz="1200">
              <a:latin typeface="Bahnschrift" panose="020B0502040204020203" pitchFamily="34" charset="0"/>
            </a:rPr>
            <a:t>-Possible OHKO</a:t>
          </a:r>
        </a:p>
        <a:p>
          <a:r>
            <a:rPr lang="en-US" sz="1200">
              <a:latin typeface="Bahnschrift" panose="020B0502040204020203" pitchFamily="34" charset="0"/>
            </a:rPr>
            <a:t>-Likely OHKO</a:t>
          </a:r>
        </a:p>
        <a:p>
          <a:r>
            <a:rPr lang="en-US" sz="1200">
              <a:latin typeface="Bahnschrift" panose="020B0502040204020203" pitchFamily="34" charset="0"/>
            </a:rPr>
            <a:t>-Possible Survival OHKO</a:t>
          </a:r>
        </a:p>
        <a:p>
          <a:r>
            <a:rPr lang="en-US" sz="1200">
              <a:latin typeface="Bahnschrift" panose="020B0502040204020203" pitchFamily="34" charset="0"/>
            </a:rPr>
            <a:t>-Likely Survival OHKO</a:t>
          </a:r>
        </a:p>
        <a:p>
          <a:r>
            <a:rPr lang="en-US" sz="1400" b="1">
              <a:latin typeface="Bahnschrift" panose="020B0502040204020203" pitchFamily="34" charset="0"/>
            </a:rPr>
            <a:t>Defensive</a:t>
          </a:r>
        </a:p>
        <a:p>
          <a:r>
            <a:rPr lang="en-US" sz="1200">
              <a:latin typeface="Bahnschrift" panose="020B0502040204020203" pitchFamily="34" charset="0"/>
            </a:rPr>
            <a:t>-Possible Incoming OHKO</a:t>
          </a:r>
        </a:p>
        <a:p>
          <a:r>
            <a:rPr lang="en-US" sz="1200">
              <a:latin typeface="Bahnschrift" panose="020B0502040204020203" pitchFamily="34" charset="0"/>
            </a:rPr>
            <a:t>-Likely Incoming OHKO</a:t>
          </a:r>
        </a:p>
        <a:p>
          <a:r>
            <a:rPr lang="en-US" sz="1400" b="1">
              <a:latin typeface="Bahnschrift" panose="020B0502040204020203" pitchFamily="34" charset="0"/>
            </a:rPr>
            <a:t>Tactical</a:t>
          </a:r>
        </a:p>
        <a:p>
          <a:r>
            <a:rPr lang="en-US" sz="1200">
              <a:latin typeface="Bahnschrift" panose="020B0502040204020203" pitchFamily="34" charset="0"/>
            </a:rPr>
            <a:t>-Opponent has priority</a:t>
          </a:r>
        </a:p>
        <a:p>
          <a:r>
            <a:rPr lang="en-US" sz="1200">
              <a:latin typeface="Bahnschrift" panose="020B0502040204020203" pitchFamily="34" charset="0"/>
            </a:rPr>
            <a:t>-King's Shield risk</a:t>
          </a:r>
        </a:p>
        <a:p>
          <a:r>
            <a:rPr lang="en-US" sz="1200">
              <a:latin typeface="Bahnschrift" panose="020B0502040204020203" pitchFamily="34" charset="0"/>
            </a:rPr>
            <a:t>-Baneful Bunker risk</a:t>
          </a:r>
        </a:p>
        <a:p>
          <a:r>
            <a:rPr lang="en-US" sz="1200">
              <a:latin typeface="Bahnschrift" panose="020B0502040204020203" pitchFamily="34" charset="0"/>
            </a:rPr>
            <a:t>-Iron Barbs risk</a:t>
          </a:r>
        </a:p>
        <a:p>
          <a:r>
            <a:rPr lang="en-US" sz="1200">
              <a:latin typeface="Bahnschrift" panose="020B0502040204020203" pitchFamily="34" charset="0"/>
            </a:rPr>
            <a:t>-Rough Skin risk</a:t>
          </a:r>
        </a:p>
        <a:p>
          <a:r>
            <a:rPr lang="en-US" sz="1200">
              <a:latin typeface="Bahnschrift" panose="020B0502040204020203" pitchFamily="34" charset="0"/>
            </a:rPr>
            <a:t>-Sturdy may prevent OHKO</a:t>
          </a:r>
        </a:p>
        <a:p>
          <a:endParaRPr lang="en-US" sz="1200">
            <a:latin typeface="Bahnschrift" panose="020B0502040204020203" pitchFamily="34" charset="0"/>
          </a:endParaRPr>
        </a:p>
        <a:p>
          <a:r>
            <a:rPr lang="en-US" sz="1200">
              <a:latin typeface="Bahnschrift" panose="020B0502040204020203" pitchFamily="34" charset="0"/>
            </a:rPr>
            <a:t>Notes do </a:t>
          </a:r>
          <a:r>
            <a:rPr lang="en-US" sz="1200" b="1">
              <a:latin typeface="Bahnschrift" panose="020B0502040204020203" pitchFamily="34" charset="0"/>
            </a:rPr>
            <a:t>not</a:t>
          </a:r>
          <a:r>
            <a:rPr lang="en-US" sz="1200">
              <a:latin typeface="Bahnschrift" panose="020B0502040204020203" pitchFamily="34" charset="0"/>
            </a:rPr>
            <a:t> override the recommendation.</a:t>
          </a:r>
        </a:p>
        <a:p>
          <a:r>
            <a:rPr lang="en-US" sz="1200">
              <a:latin typeface="Bahnschrift" panose="020B0502040204020203" pitchFamily="34" charset="0"/>
            </a:rPr>
            <a:t>They simply highlight interesting opportunities—or potential disasters.</a:t>
          </a:r>
        </a:p>
        <a:p>
          <a:br>
            <a:rPr lang="en-US" sz="1200">
              <a:latin typeface="Bahnschrift" panose="020B0502040204020203" pitchFamily="34" charset="0"/>
            </a:rPr>
          </a:br>
          <a:endParaRPr lang="en-US" sz="1200">
            <a:latin typeface="Bahnschrift" panose="020B0502040204020203" pitchFamily="34" charset="0"/>
          </a:endParaRPr>
        </a:p>
        <a:p>
          <a:r>
            <a:rPr lang="en-US" sz="1600" b="1">
              <a:latin typeface="Bahnschrift" panose="020B0502040204020203" pitchFamily="34" charset="0"/>
            </a:rPr>
            <a:t>Design Philosophy</a:t>
          </a:r>
        </a:p>
        <a:p>
          <a:r>
            <a:rPr lang="en-US" sz="1200">
              <a:latin typeface="Bahnschrift" panose="020B0502040204020203" pitchFamily="34" charset="0"/>
            </a:rPr>
            <a:t>Battle Compass follows one simple rule:</a:t>
          </a:r>
        </a:p>
        <a:p>
          <a:r>
            <a:rPr lang="en-US" sz="1400" b="1">
              <a:latin typeface="Bahnschrift" panose="020B0502040204020203" pitchFamily="34" charset="0"/>
            </a:rPr>
            <a:t>Recommend the safest play. Inform the interesting ones.</a:t>
          </a:r>
          <a:endParaRPr lang="en-US" sz="1400">
            <a:latin typeface="Bahnschrift" panose="020B0502040204020203" pitchFamily="34" charset="0"/>
          </a:endParaRPr>
        </a:p>
        <a:p>
          <a:r>
            <a:rPr lang="en-US" sz="1200">
              <a:latin typeface="Bahnschrift" panose="020B0502040204020203" pitchFamily="34" charset="0"/>
            </a:rPr>
            <a:t>That means:</a:t>
          </a:r>
        </a:p>
        <a:p>
          <a:r>
            <a:rPr lang="en-US" sz="1200">
              <a:latin typeface="Bahnschrift" panose="020B0502040204020203" pitchFamily="34" charset="0"/>
            </a:rPr>
            <a:t>The Recommendation answers:</a:t>
          </a:r>
          <a:r>
            <a:rPr lang="en-US" sz="1200" baseline="0">
              <a:latin typeface="Bahnschrift" panose="020B0502040204020203" pitchFamily="34" charset="0"/>
            </a:rPr>
            <a:t> </a:t>
          </a:r>
          <a:r>
            <a:rPr lang="en-US" sz="1200">
              <a:latin typeface="Bahnschrift" panose="020B0502040204020203" pitchFamily="34" charset="0"/>
            </a:rPr>
            <a:t>"Who should I send?"</a:t>
          </a:r>
        </a:p>
        <a:p>
          <a:r>
            <a:rPr lang="en-US" sz="1200">
              <a:latin typeface="Bahnschrift" panose="020B0502040204020203" pitchFamily="34" charset="0"/>
            </a:rPr>
            <a:t>The Why box answers:</a:t>
          </a:r>
          <a:r>
            <a:rPr lang="en-US" sz="1200" baseline="0">
              <a:latin typeface="Bahnschrift" panose="020B0502040204020203" pitchFamily="34" charset="0"/>
            </a:rPr>
            <a:t> </a:t>
          </a:r>
          <a:r>
            <a:rPr lang="en-US" sz="1200">
              <a:latin typeface="Bahnschrift" panose="020B0502040204020203" pitchFamily="34" charset="0"/>
            </a:rPr>
            <a:t>"Why this Pokémon?"</a:t>
          </a:r>
        </a:p>
        <a:p>
          <a:r>
            <a:rPr lang="en-US" sz="1200">
              <a:latin typeface="Bahnschrift" panose="020B0502040204020203" pitchFamily="34" charset="0"/>
            </a:rPr>
            <a:t>The Notes answer:</a:t>
          </a:r>
          <a:r>
            <a:rPr lang="en-US" sz="1200" baseline="0">
              <a:latin typeface="Bahnschrift" panose="020B0502040204020203" pitchFamily="34" charset="0"/>
            </a:rPr>
            <a:t> </a:t>
          </a:r>
          <a:r>
            <a:rPr lang="en-US" sz="1200">
              <a:latin typeface="Bahnschrift" panose="020B0502040204020203" pitchFamily="34" charset="0"/>
            </a:rPr>
            <a:t>"Anything I should know before I mash A?"</a:t>
          </a:r>
        </a:p>
        <a:p>
          <a:br>
            <a:rPr lang="en-US" sz="1200">
              <a:latin typeface="Bahnschrift" panose="020B0502040204020203" pitchFamily="34" charset="0"/>
            </a:rPr>
          </a:br>
          <a:endParaRPr lang="en-US" sz="1200">
            <a:latin typeface="Bahnschrift" panose="020B0502040204020203" pitchFamily="34" charset="0"/>
          </a:endParaRPr>
        </a:p>
        <a:p>
          <a:r>
            <a:rPr lang="en-US" sz="1600" b="1">
              <a:latin typeface="Bahnschrift" panose="020B0502040204020203" pitchFamily="34" charset="0"/>
            </a:rPr>
            <a:t>Known Limitations</a:t>
          </a:r>
        </a:p>
        <a:p>
          <a:r>
            <a:rPr lang="en-US" sz="1200">
              <a:latin typeface="Bahnschrift" panose="020B0502040204020203" pitchFamily="34" charset="0"/>
            </a:rPr>
            <a:t>Battle Compass performs deterministic calculations using publicly available Pokémon data.</a:t>
          </a:r>
        </a:p>
        <a:p>
          <a:r>
            <a:rPr lang="en-US" sz="1200">
              <a:latin typeface="Bahnschrift" panose="020B0502040204020203" pitchFamily="34" charset="0"/>
            </a:rPr>
            <a:t>Some battle mechanics are intentionally simplified.</a:t>
          </a:r>
        </a:p>
        <a:p>
          <a:r>
            <a:rPr lang="en-US" sz="1200">
              <a:latin typeface="Bahnschrift" panose="020B0502040204020203" pitchFamily="34" charset="0"/>
            </a:rPr>
            <a:t>If the recommendation disagrees with your intuition...</a:t>
          </a:r>
        </a:p>
        <a:p>
          <a:r>
            <a:rPr lang="en-US" sz="1200">
              <a:latin typeface="Bahnschrift" panose="020B0502040204020203" pitchFamily="34" charset="0"/>
            </a:rPr>
            <a:t>...you're probably right.</a:t>
          </a:r>
        </a:p>
        <a:p>
          <a:r>
            <a:rPr lang="en-US" sz="1200">
              <a:latin typeface="Bahnschrift" panose="020B0502040204020203" pitchFamily="34" charset="0"/>
            </a:rPr>
            <a:t>Or I'm right.</a:t>
          </a:r>
        </a:p>
        <a:p>
          <a:r>
            <a:rPr lang="en-US" sz="1200">
              <a:latin typeface="Bahnschrift" panose="020B0502040204020203" pitchFamily="34" charset="0"/>
            </a:rPr>
            <a:t>There's really only one way to find out.</a:t>
          </a:r>
        </a:p>
        <a:p>
          <a:br>
            <a:rPr lang="en-US" sz="1200">
              <a:latin typeface="Bahnschrift" panose="020B0502040204020203" pitchFamily="34" charset="0"/>
            </a:rPr>
          </a:br>
          <a:endParaRPr lang="en-US" sz="1200">
            <a:latin typeface="Bahnschrift" panose="020B0502040204020203" pitchFamily="34" charset="0"/>
          </a:endParaRPr>
        </a:p>
        <a:p>
          <a:r>
            <a:rPr lang="en-US" sz="1600" b="1">
              <a:latin typeface="Bahnschrift" panose="020B0502040204020203" pitchFamily="34" charset="0"/>
            </a:rPr>
            <a:t>Release Notes</a:t>
          </a:r>
        </a:p>
        <a:p>
          <a:r>
            <a:rPr lang="en-US" sz="1400" b="1">
              <a:latin typeface="Bahnschrift" panose="020B0502040204020203" pitchFamily="34" charset="0"/>
            </a:rPr>
            <a:t>Version 1.2</a:t>
          </a:r>
        </a:p>
        <a:p>
          <a:r>
            <a:rPr lang="en-US" sz="1200">
              <a:latin typeface="Bahnschrift" panose="020B0502040204020203" pitchFamily="34" charset="0"/>
            </a:rPr>
            <a:t>Battle Compass becomes significantly more mechanics-aware.</a:t>
          </a:r>
        </a:p>
        <a:p>
          <a:endParaRPr lang="en-US" sz="1200" b="1">
            <a:latin typeface="Bahnschrift" panose="020B0502040204020203" pitchFamily="34" charset="0"/>
          </a:endParaRPr>
        </a:p>
        <a:p>
          <a:r>
            <a:rPr lang="en-US" sz="1200" b="1">
              <a:latin typeface="Bahnschrift" panose="020B0502040204020203" pitchFamily="34" charset="0"/>
            </a:rPr>
            <a:t>New Features</a:t>
          </a:r>
        </a:p>
        <a:p>
          <a:r>
            <a:rPr lang="en-US" sz="1200">
              <a:latin typeface="Bahnschrift" panose="020B0502040204020203" pitchFamily="34" charset="0"/>
            </a:rPr>
            <a:t>Conditional move power modeling (Hex) </a:t>
          </a:r>
        </a:p>
        <a:p>
          <a:r>
            <a:rPr lang="en-US" sz="1200">
              <a:latin typeface="Bahnschrift" panose="020B0502040204020203" pitchFamily="34" charset="0"/>
            </a:rPr>
            <a:t>Conditional move power modeling (Venoshock) </a:t>
          </a:r>
        </a:p>
        <a:p>
          <a:r>
            <a:rPr lang="en-US" sz="1200">
              <a:latin typeface="Bahnschrift" panose="020B0502040204020203" pitchFamily="34" charset="0"/>
            </a:rPr>
            <a:t>Body Press DEF-based damage calculations </a:t>
          </a:r>
        </a:p>
        <a:p>
          <a:r>
            <a:rPr lang="en-US" sz="1200">
              <a:latin typeface="Bahnschrift" panose="020B0502040204020203" pitchFamily="34" charset="0"/>
            </a:rPr>
            <a:t>Body Press tactical Notes </a:t>
          </a:r>
        </a:p>
        <a:p>
          <a:r>
            <a:rPr lang="en-US" sz="1200">
              <a:latin typeface="Bahnschrift" panose="020B0502040204020203" pitchFamily="34" charset="0"/>
            </a:rPr>
            <a:t>Shell Trap tactical Notes </a:t>
          </a:r>
        </a:p>
        <a:p>
          <a:r>
            <a:rPr lang="en-US" sz="1200">
              <a:latin typeface="Bahnschrift" panose="020B0502040204020203" pitchFamily="34" charset="0"/>
            </a:rPr>
            <a:t>Additional metadata-driven move behaviors</a:t>
          </a:r>
        </a:p>
        <a:p>
          <a:r>
            <a:rPr lang="en-US" sz="1200" b="1">
              <a:latin typeface="Bahnschrift" panose="020B0502040204020203" pitchFamily="34" charset="0"/>
            </a:rPr>
            <a:t>Selected Held Item support</a:t>
          </a:r>
          <a:endParaRPr lang="en-US" sz="1200">
            <a:latin typeface="Bahnschrift" panose="020B0502040204020203" pitchFamily="34" charset="0"/>
          </a:endParaRPr>
        </a:p>
        <a:p>
          <a:r>
            <a:rPr lang="en-US" sz="1200">
              <a:latin typeface="Bahnschrift" panose="020B0502040204020203" pitchFamily="34" charset="0"/>
            </a:rPr>
            <a:t>-Added metadata-driven held item framework. </a:t>
          </a:r>
        </a:p>
        <a:p>
          <a:r>
            <a:rPr lang="en-US" sz="1200">
              <a:latin typeface="Bahnschrift" panose="020B0502040204020203" pitchFamily="34" charset="0"/>
            </a:rPr>
            <a:t>-Added defensive stat support for </a:t>
          </a:r>
          <a:r>
            <a:rPr lang="en-US" sz="1200" b="1">
              <a:latin typeface="Bahnschrift" panose="020B0502040204020203" pitchFamily="34" charset="0"/>
            </a:rPr>
            <a:t>Eviolite</a:t>
          </a:r>
          <a:r>
            <a:rPr lang="en-US" sz="1200">
              <a:latin typeface="Bahnschrift" panose="020B0502040204020203" pitchFamily="34" charset="0"/>
            </a:rPr>
            <a:t> via Effective DEF/SPD. </a:t>
          </a:r>
        </a:p>
        <a:p>
          <a:r>
            <a:rPr lang="en-US" sz="1200">
              <a:latin typeface="Bahnschrift" panose="020B0502040204020203" pitchFamily="34" charset="0"/>
            </a:rPr>
            <a:t>-Added offensive move-score support for selected held items: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Charcoal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Miracle Seed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Magnet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Mystic Water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Sharp Beak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Spell Tag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Black Glasses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Pixie Plate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Metal Coat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Wise Glasses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Expert Belt </a:t>
          </a:r>
        </a:p>
        <a:p>
          <a:r>
            <a:rPr lang="en-US" sz="1200">
              <a:latin typeface="Bahnschrift" panose="020B0502040204020203" pitchFamily="34" charset="0"/>
            </a:rPr>
            <a:t>-Added support for: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Type-based move boosts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Category-based move boosts </a:t>
          </a:r>
        </a:p>
        <a:p>
          <a:pPr lvl="1"/>
          <a:r>
            <a:rPr lang="en-US" sz="1200">
              <a:latin typeface="Bahnschrift" panose="020B0502040204020203" pitchFamily="34" charset="0"/>
            </a:rPr>
            <a:t>Super-effective conditional boosts </a:t>
          </a:r>
        </a:p>
        <a:p>
          <a:r>
            <a:rPr lang="en-US" sz="1200">
              <a:latin typeface="Bahnschrift" panose="020B0502040204020203" pitchFamily="34" charset="0"/>
            </a:rPr>
            <a:t>Preserved unmodeled items, such as Leftovers, as metadata placeholders.</a:t>
          </a:r>
        </a:p>
        <a:p>
          <a:r>
            <a:rPr lang="en-US" sz="1200">
              <a:latin typeface="Bahnschrift" panose="020B0502040204020203" pitchFamily="34" charset="0"/>
            </a:rPr>
            <a:t> </a:t>
          </a:r>
        </a:p>
        <a:p>
          <a:endParaRPr lang="en-US" sz="1200" b="1">
            <a:latin typeface="Bahnschrift" panose="020B0502040204020203" pitchFamily="34" charset="0"/>
          </a:endParaRPr>
        </a:p>
        <a:p>
          <a:r>
            <a:rPr lang="en-US" sz="1200" b="1">
              <a:latin typeface="Bahnschrift" panose="020B0502040204020203" pitchFamily="34" charset="0"/>
            </a:rPr>
            <a:t>Improved</a:t>
          </a:r>
        </a:p>
        <a:p>
          <a:r>
            <a:rPr lang="en-US" sz="1200">
              <a:latin typeface="Bahnschrift" panose="020B0502040204020203" pitchFamily="34" charset="0"/>
            </a:rPr>
            <a:t>Expanded tactical Notes engine </a:t>
          </a:r>
        </a:p>
        <a:p>
          <a:r>
            <a:rPr lang="en-US" sz="1200">
              <a:latin typeface="Bahnschrift" panose="020B0502040204020203" pitchFamily="34" charset="0"/>
            </a:rPr>
            <a:t>Improved conditional move evaluation </a:t>
          </a:r>
        </a:p>
        <a:p>
          <a:r>
            <a:rPr lang="en-US" sz="1200">
              <a:latin typeface="Bahnschrift" panose="020B0502040204020203" pitchFamily="34" charset="0"/>
            </a:rPr>
            <a:t>Better surfacing of setup opportunities </a:t>
          </a:r>
        </a:p>
        <a:p>
          <a:r>
            <a:rPr lang="en-US" sz="1200">
              <a:latin typeface="Bahnschrift" panose="020B0502040204020203" pitchFamily="34" charset="0"/>
            </a:rPr>
            <a:t>Cleaner mechanics-aware recommendations </a:t>
          </a:r>
        </a:p>
        <a:p>
          <a:r>
            <a:rPr lang="en-US" sz="1200">
              <a:latin typeface="Bahnschrift" panose="020B0502040204020203" pitchFamily="34" charset="0"/>
            </a:rPr>
            <a:t>Additional formula optimization and helper refactoring</a:t>
          </a:r>
        </a:p>
        <a:p>
          <a:endParaRPr lang="en-US" sz="1400" b="1">
            <a:latin typeface="Bahnschrift" panose="020B0502040204020203" pitchFamily="34" charset="0"/>
          </a:endParaRPr>
        </a:p>
        <a:p>
          <a:r>
            <a:rPr lang="en-US" sz="1400" b="1">
              <a:latin typeface="Bahnschrift" panose="020B0502040204020203" pitchFamily="34" charset="0"/>
            </a:rPr>
            <a:t>Version 1.1</a:t>
          </a:r>
        </a:p>
        <a:p>
          <a:r>
            <a:rPr lang="en-US" sz="1200">
              <a:latin typeface="Bahnschrift" panose="020B0502040204020203" pitchFamily="34" charset="0"/>
            </a:rPr>
            <a:t>Major engine update.</a:t>
          </a:r>
        </a:p>
        <a:p>
          <a:endParaRPr lang="en-US" sz="1200" b="1">
            <a:latin typeface="Bahnschrift" panose="020B0502040204020203" pitchFamily="34" charset="0"/>
          </a:endParaRPr>
        </a:p>
        <a:p>
          <a:r>
            <a:rPr lang="en-US" sz="1200" b="1">
              <a:latin typeface="Bahnschrift" panose="020B0502040204020203" pitchFamily="34" charset="0"/>
            </a:rPr>
            <a:t>New Features</a:t>
          </a:r>
        </a:p>
        <a:p>
          <a:r>
            <a:rPr lang="en-US" sz="1200">
              <a:latin typeface="Bahnschrift" panose="020B0502040204020203" pitchFamily="34" charset="0"/>
            </a:rPr>
            <a:t>HP-aware OHKO detection</a:t>
          </a:r>
        </a:p>
        <a:p>
          <a:r>
            <a:rPr lang="en-US" sz="1200">
              <a:latin typeface="Bahnschrift" panose="020B0502040204020203" pitchFamily="34" charset="0"/>
            </a:rPr>
            <a:t>Survival OHKO detection</a:t>
          </a:r>
        </a:p>
        <a:p>
          <a:r>
            <a:rPr lang="en-US" sz="1200">
              <a:latin typeface="Bahnschrift" panose="020B0502040204020203" pitchFamily="34" charset="0"/>
            </a:rPr>
            <a:t>Incoming OHKO detection</a:t>
          </a:r>
        </a:p>
        <a:p>
          <a:r>
            <a:rPr lang="en-US" sz="1200">
              <a:latin typeface="Bahnschrift" panose="020B0502040204020203" pitchFamily="34" charset="0"/>
            </a:rPr>
            <a:t>Refactored tactical Notes Engine</a:t>
          </a:r>
        </a:p>
        <a:p>
          <a:r>
            <a:rPr lang="en-US" sz="1200">
              <a:latin typeface="Bahnschrift" panose="020B0502040204020203" pitchFamily="34" charset="0"/>
            </a:rPr>
            <a:t>Move metadata architecture</a:t>
          </a:r>
        </a:p>
        <a:p>
          <a:r>
            <a:rPr lang="en-US" sz="1200">
              <a:latin typeface="Bahnschrift" panose="020B0502040204020203" pitchFamily="34" charset="0"/>
            </a:rPr>
            <a:t>DamageMethod support</a:t>
          </a:r>
        </a:p>
        <a:p>
          <a:r>
            <a:rPr lang="en-US" sz="1200">
              <a:latin typeface="Bahnschrift" panose="020B0502040204020203" pitchFamily="34" charset="0"/>
            </a:rPr>
            <a:t>ActivationCondition support</a:t>
          </a:r>
        </a:p>
        <a:p>
          <a:r>
            <a:rPr lang="en-US" sz="1200">
              <a:latin typeface="Bahnschrift" panose="020B0502040204020203" pitchFamily="34" charset="0"/>
            </a:rPr>
            <a:t>Contact-aware move mechanics</a:t>
          </a:r>
        </a:p>
        <a:p>
          <a:r>
            <a:rPr lang="en-US" sz="1200">
              <a:latin typeface="Bahnschrift" panose="020B0502040204020203" pitchFamily="34" charset="0"/>
            </a:rPr>
            <a:t>Ability tactical warnings</a:t>
          </a:r>
        </a:p>
        <a:p>
          <a:r>
            <a:rPr lang="en-US" sz="1200">
              <a:latin typeface="Bahnschrift" panose="020B0502040204020203" pitchFamily="34" charset="0"/>
            </a:rPr>
            <a:t>Expanded move database including Status moves</a:t>
          </a:r>
        </a:p>
        <a:p>
          <a:r>
            <a:rPr lang="en-US" sz="1200">
              <a:latin typeface="Bahnschrift" panose="020B0502040204020203" pitchFamily="34" charset="0"/>
            </a:rPr>
            <a:t>Max Move and G-Max Move metadata</a:t>
          </a:r>
        </a:p>
        <a:p>
          <a:r>
            <a:rPr lang="en-US" sz="1200">
              <a:latin typeface="Bahnschrift" panose="020B0502040204020203" pitchFamily="34" charset="0"/>
            </a:rPr>
            <a:t>Improved immune matchup handling</a:t>
          </a:r>
        </a:p>
        <a:p>
          <a:r>
            <a:rPr lang="en-US" sz="1200">
              <a:latin typeface="Bahnschrift" panose="020B0502040204020203" pitchFamily="34" charset="0"/>
            </a:rPr>
            <a:t>Formula optimization and helper-engine refactoring</a:t>
          </a:r>
        </a:p>
        <a:p>
          <a:endParaRPr lang="en-US" sz="1200" b="1">
            <a:latin typeface="Bahnschrift" panose="020B0502040204020203" pitchFamily="34" charset="0"/>
          </a:endParaRPr>
        </a:p>
        <a:p>
          <a:r>
            <a:rPr lang="en-US" sz="1200" b="1">
              <a:latin typeface="Bahnschrift" panose="020B0502040204020203" pitchFamily="34" charset="0"/>
            </a:rPr>
            <a:t>Improved</a:t>
          </a:r>
        </a:p>
        <a:p>
          <a:r>
            <a:rPr lang="en-US" sz="1200">
              <a:latin typeface="Bahnschrift" panose="020B0502040204020203" pitchFamily="34" charset="0"/>
            </a:rPr>
            <a:t>Better handling of special damage mechanics</a:t>
          </a:r>
        </a:p>
        <a:p>
          <a:r>
            <a:rPr lang="en-US" sz="1200">
              <a:latin typeface="Bahnschrift" panose="020B0502040204020203" pitchFamily="34" charset="0"/>
            </a:rPr>
            <a:t>Cleaner recommendation notes</a:t>
          </a:r>
        </a:p>
        <a:p>
          <a:r>
            <a:rPr lang="en-US" sz="1200">
              <a:latin typeface="Bahnschrift" panose="020B0502040204020203" pitchFamily="34" charset="0"/>
            </a:rPr>
            <a:t>More transparent tactical warnings</a:t>
          </a:r>
        </a:p>
        <a:p>
          <a:r>
            <a:rPr lang="en-US" sz="1200">
              <a:latin typeface="Bahnschrift" panose="020B0502040204020203" pitchFamily="34" charset="0"/>
            </a:rPr>
            <a:t>Improved readability and maintainability</a:t>
          </a:r>
        </a:p>
        <a:p>
          <a:br>
            <a:rPr lang="en-US" sz="1200">
              <a:latin typeface="Bahnschrift" panose="020B0502040204020203" pitchFamily="34" charset="0"/>
            </a:rPr>
          </a:br>
          <a:endParaRPr lang="en-US" sz="1200">
            <a:latin typeface="Bahnschrift" panose="020B0502040204020203" pitchFamily="34" charset="0"/>
          </a:endParaRPr>
        </a:p>
        <a:p>
          <a:r>
            <a:rPr lang="en-US" sz="1200" b="1">
              <a:latin typeface="Bahnschrift" panose="020B0502040204020203" pitchFamily="34" charset="0"/>
            </a:rPr>
            <a:t>Future Ideas</a:t>
          </a:r>
        </a:p>
        <a:p>
          <a:r>
            <a:rPr lang="en-US" sz="1200">
              <a:latin typeface="Bahnschrift" panose="020B0502040204020203" pitchFamily="34" charset="0"/>
            </a:rPr>
            <a:t>Maybe.</a:t>
          </a:r>
        </a:p>
        <a:p>
          <a:r>
            <a:rPr lang="en-US" sz="1200">
              <a:latin typeface="Bahnschrift" panose="020B0502040204020203" pitchFamily="34" charset="0"/>
            </a:rPr>
            <a:t>If I haven't completely lost my mind first.</a:t>
          </a:r>
        </a:p>
        <a:p>
          <a:r>
            <a:rPr lang="en-US" sz="1200">
              <a:latin typeface="Bahnschrift" panose="020B0502040204020203" pitchFamily="34" charset="0"/>
            </a:rPr>
            <a:t>Current ideas include:</a:t>
          </a:r>
        </a:p>
        <a:p>
          <a:r>
            <a:rPr lang="en-US" sz="1200">
              <a:latin typeface="Bahnschrift" panose="020B0502040204020203" pitchFamily="34" charset="0"/>
            </a:rPr>
            <a:t>Conditional move boosts (Hex, Venoshock, Brine, etc.)</a:t>
          </a:r>
        </a:p>
        <a:p>
          <a:r>
            <a:rPr lang="en-US" sz="1200">
              <a:latin typeface="Bahnschrift" panose="020B0502040204020203" pitchFamily="34" charset="0"/>
            </a:rPr>
            <a:t>Additional unusual move mechanics</a:t>
          </a:r>
        </a:p>
        <a:p>
          <a:r>
            <a:rPr lang="en-US" sz="1200">
              <a:latin typeface="Bahnschrift" panose="020B0502040204020203" pitchFamily="34" charset="0"/>
            </a:rPr>
            <a:t>More ability interactions</a:t>
          </a:r>
        </a:p>
        <a:p>
          <a:r>
            <a:rPr lang="en-US" sz="1200">
              <a:latin typeface="Bahnschrift" panose="020B0502040204020203" pitchFamily="34" charset="0"/>
            </a:rPr>
            <a:t>Optional recommendation sorting</a:t>
          </a:r>
        </a:p>
        <a:p>
          <a:r>
            <a:rPr lang="en-US" sz="1200">
              <a:latin typeface="Bahnschrift" panose="020B0502040204020203" pitchFamily="34" charset="0"/>
            </a:rPr>
            <a:t>Additional validation after future playthroughs</a:t>
          </a:r>
        </a:p>
        <a:p>
          <a:br>
            <a:rPr lang="en-US" sz="1200">
              <a:latin typeface="Bahnschrift" panose="020B0502040204020203" pitchFamily="34" charset="0"/>
            </a:rPr>
          </a:br>
          <a:endParaRPr lang="en-US" sz="1200">
            <a:latin typeface="Bahnschrift" panose="020B0502040204020203" pitchFamily="34" charset="0"/>
          </a:endParaRPr>
        </a:p>
        <a:p>
          <a:r>
            <a:rPr lang="en-US" sz="1200" b="1">
              <a:latin typeface="Bahnschrift" panose="020B0502040204020203" pitchFamily="34" charset="0"/>
            </a:rPr>
            <a:t>Final Thoughts</a:t>
          </a:r>
        </a:p>
        <a:p>
          <a:r>
            <a:rPr lang="en-US" sz="1200">
              <a:latin typeface="Bahnschrift" panose="020B0502040204020203" pitchFamily="34" charset="0"/>
            </a:rPr>
            <a:t>This workbook exists because building it sounded fun.</a:t>
          </a:r>
        </a:p>
        <a:p>
          <a:r>
            <a:rPr lang="en-US" sz="1200">
              <a:latin typeface="Bahnschrift" panose="020B0502040204020203" pitchFamily="34" charset="0"/>
            </a:rPr>
            <a:t>Turns out...</a:t>
          </a:r>
        </a:p>
        <a:p>
          <a:r>
            <a:rPr lang="en-US" sz="1200">
              <a:latin typeface="Bahnschrift" panose="020B0502040204020203" pitchFamily="34" charset="0"/>
            </a:rPr>
            <a:t>...it was.</a:t>
          </a:r>
        </a:p>
        <a:p>
          <a:r>
            <a:rPr lang="en-US" sz="1200">
              <a:latin typeface="Bahnschrift" panose="020B0502040204020203" pitchFamily="34" charset="0"/>
            </a:rPr>
            <a:t>If it saves you from making one catastrophically bad switch—or reminds you that Skuntank is about to be incredibly obnoxious—then it has successfully accomplished its life's purpose.</a:t>
          </a:r>
        </a:p>
        <a:p>
          <a:r>
            <a:rPr lang="en-US" sz="1200">
              <a:latin typeface="Bahnschrift" panose="020B0502040204020203" pitchFamily="34" charset="0"/>
            </a:rPr>
            <a:t>Now go become Champion.</a:t>
          </a:r>
        </a:p>
        <a:p>
          <a:r>
            <a:rPr lang="en-US" sz="1200">
              <a:latin typeface="Bahnschrift" panose="020B0502040204020203" pitchFamily="34" charset="0"/>
            </a:rPr>
            <a:t>(Again.)</a:t>
          </a:r>
          <a:br>
            <a:rPr lang="en-US" sz="1200">
              <a:latin typeface="Bahnschrift" panose="020B0502040204020203" pitchFamily="34" charset="0"/>
            </a:rPr>
          </a:br>
          <a:endParaRPr lang="en-US" sz="1200">
            <a:latin typeface="Bahnschrift" panose="020B0502040204020203" pitchFamily="34" charset="0"/>
          </a:endParaRPr>
        </a:p>
        <a:p>
          <a:r>
            <a:rPr lang="en-US" sz="1200" i="1">
              <a:latin typeface="Bahnschrift" panose="020B0502040204020203" pitchFamily="34" charset="0"/>
            </a:rPr>
            <a:t>Legal</a:t>
          </a:r>
          <a:r>
            <a:rPr lang="en-US" sz="1200" i="1" baseline="0">
              <a:latin typeface="Bahnschrift" panose="020B0502040204020203" pitchFamily="34" charset="0"/>
            </a:rPr>
            <a:t> Junk</a:t>
          </a:r>
          <a:endParaRPr lang="en-US" sz="1200" i="1">
            <a:latin typeface="Bahnschrift" panose="020B0502040204020203" pitchFamily="34" charset="0"/>
          </a:endParaRPr>
        </a:p>
        <a:p>
          <a:r>
            <a:rPr lang="en-US" sz="1100" i="1">
              <a:solidFill>
                <a:schemeClr val="bg1">
                  <a:lumMod val="75000"/>
                </a:schemeClr>
              </a:solidFill>
              <a:latin typeface="Bahnschrift" panose="020B0502040204020203" pitchFamily="34" charset="0"/>
            </a:rPr>
            <a:t>PokemonandallassociatedintellectualpropertybelongtoNintendoGameFreakandThePokemonCompanyBattleCompassisanunofficialfanmadeprojectcreatedforpersonalandenjoymentpurposesandyesIamatleastvaguelyawarethatIcouldhaveusedthismanyhoursforliterallyanythingelsebutlookatthisspreadsheetthoughitsprettycool.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80FA97-FE7C-4E00-A9E2-34F95CE6D012}" name="TeamData" displayName="TeamData" ref="A1:AH7" totalsRowShown="0" headerRowDxfId="282" dataDxfId="281">
  <tableColumns count="34">
    <tableColumn id="1" xr3:uid="{9CA8BA6D-DB18-4E79-AB89-6A183E5134C7}" name="Pokemon" dataDxfId="280"/>
    <tableColumn id="2" xr3:uid="{2BB5EAEB-32AF-4969-8F92-AB70E54779CE}" name="Type1" dataDxfId="279"/>
    <tableColumn id="3" xr3:uid="{6F2F00DD-93DF-4DCB-A6AC-205C9BC7074E}" name="Type2" dataDxfId="278"/>
    <tableColumn id="31" xr3:uid="{BBCFAC25-6BEA-4CE8-B429-D9AF9E4BD75F}" name="Level" dataDxfId="277"/>
    <tableColumn id="4" xr3:uid="{1DDE9346-EBB8-408B-AE00-EB9D5D391E04}" name="HP" dataDxfId="276"/>
    <tableColumn id="5" xr3:uid="{A00D0EF0-0699-4C07-9430-AFB92A107A82}" name="ATK" dataDxfId="275"/>
    <tableColumn id="6" xr3:uid="{037C9220-F531-42D2-8C80-699C00019A54}" name="DEF" dataDxfId="274"/>
    <tableColumn id="7" xr3:uid="{BF64052D-F6A1-4D38-97C6-875E01DC8488}" name="SPA" dataDxfId="273"/>
    <tableColumn id="8" xr3:uid="{42DDC019-3644-41D2-A65D-0ED1CE981561}" name="SPD" dataDxfId="272"/>
    <tableColumn id="9" xr3:uid="{6A218C02-AEBD-45E6-B14B-720ECB892AE5}" name="SPE" dataDxfId="271"/>
    <tableColumn id="10" xr3:uid="{7D7387BB-0455-4FC5-988B-9050C656F9B5}" name="Move1" dataDxfId="270"/>
    <tableColumn id="11" xr3:uid="{1F7AF1BD-E491-45A3-A7B4-0954DFD80365}" name="Move1Type" dataDxfId="269">
      <calculatedColumnFormula>IFERROR(_xlfn.XLOOKUP(TeamData[[#This Row],[Move1]],MoveData[Move],MoveData[Type]),"")</calculatedColumnFormula>
    </tableColumn>
    <tableColumn id="23" xr3:uid="{84658EE9-0701-452A-9352-76C7D1729C26}" name="Move1Power" dataDxfId="268">
      <calculatedColumnFormula>IFERROR(_xlfn.XLOOKUP(TeamData[[#This Row],[Move1]],MoveData[Move],MoveData[Power]),"")</calculatedColumnFormula>
    </tableColumn>
    <tableColumn id="18" xr3:uid="{42BD9E79-97C2-418E-9BB5-E7FB45C69CE9}" name="Move1Category" dataDxfId="267">
      <calculatedColumnFormula>IFERROR(_xlfn.XLOOKUP(TeamData[[#This Row],[Move1]],MoveData[Move],MoveData[Category]),"")</calculatedColumnFormula>
    </tableColumn>
    <tableColumn id="20" xr3:uid="{7C84DEA1-BBFB-4E33-BAB7-3E1EB194BE60}" name="Move1Accuracy" dataDxfId="266">
      <calculatedColumnFormula>IFERROR(_xlfn.XLOOKUP(TeamData[[#This Row],[Move1]],MoveData[Move],MoveData[Accuracy]),"")</calculatedColumnFormula>
    </tableColumn>
    <tableColumn id="12" xr3:uid="{B2219183-D8E7-441D-8C8E-A9AC483319A5}" name="Move2" dataDxfId="265"/>
    <tableColumn id="13" xr3:uid="{31F4C95A-4B95-420A-8A62-00D554EE6C15}" name="Move2Type" dataDxfId="264">
      <calculatedColumnFormula>IFERROR(_xlfn.XLOOKUP(TeamData[[#This Row],[Move2]],MoveData[Move],MoveData[Type]),"")</calculatedColumnFormula>
    </tableColumn>
    <tableColumn id="24" xr3:uid="{F2B9A1A0-8F8C-4B2D-8629-FC73CC345170}" name="Move2Power" dataDxfId="263">
      <calculatedColumnFormula>IFERROR(_xlfn.XLOOKUP(TeamData[[#This Row],[Move2]],MoveData[Move],MoveData[Power]),"")</calculatedColumnFormula>
    </tableColumn>
    <tableColumn id="19" xr3:uid="{2536738C-04FC-4810-B2FD-110FBF9AE4F5}" name="Move2Category" dataDxfId="262">
      <calculatedColumnFormula>IFERROR(_xlfn.XLOOKUP(TeamData[[#This Row],[Move2]],MoveData[Move],MoveData[Category]),"")</calculatedColumnFormula>
    </tableColumn>
    <tableColumn id="27" xr3:uid="{E7BD874F-A520-4332-8EA2-D40D1E803DB2}" name="Move2Accuracy" dataDxfId="261">
      <calculatedColumnFormula>IFERROR(_xlfn.XLOOKUP(TeamData[[#This Row],[Move2]],MoveData[Move],MoveData[Accuracy]),"")</calculatedColumnFormula>
    </tableColumn>
    <tableColumn id="14" xr3:uid="{FC30816B-D106-4A35-91D2-3559682365A8}" name="Move3" dataDxfId="260"/>
    <tableColumn id="15" xr3:uid="{734A4F6C-3C04-4AF2-AC62-2CB5A34B84DE}" name="Move3Type" dataDxfId="259">
      <calculatedColumnFormula>IFERROR(_xlfn.XLOOKUP(TeamData[[#This Row],[Move3]],MoveData[Move],MoveData[Type]),"")</calculatedColumnFormula>
    </tableColumn>
    <tableColumn id="25" xr3:uid="{E0776785-2DD5-4EED-A3FE-EC4FEEC904AE}" name="Move3Power" dataDxfId="258">
      <calculatedColumnFormula>IFERROR(_xlfn.XLOOKUP(TeamData[[#This Row],[Move3]],MoveData[Move],MoveData[Power]),"")</calculatedColumnFormula>
    </tableColumn>
    <tableColumn id="21" xr3:uid="{C7A5CBF3-5B55-4D80-AAD7-3A9949B865DA}" name="Move3Category" dataDxfId="257">
      <calculatedColumnFormula>IFERROR(_xlfn.XLOOKUP(TeamData[[#This Row],[Move3]],MoveData[Move],MoveData[Category]),"")</calculatedColumnFormula>
    </tableColumn>
    <tableColumn id="28" xr3:uid="{518257BD-C6FC-454A-AF57-81842F96688F}" name="Move3Accuracy" dataDxfId="256">
      <calculatedColumnFormula>IFERROR(_xlfn.XLOOKUP(TeamData[[#This Row],[Move3]],MoveData[Move],MoveData[Accuracy]),"")</calculatedColumnFormula>
    </tableColumn>
    <tableColumn id="16" xr3:uid="{E11FA9C0-29DA-4BBB-B654-FF3D12AB180F}" name="Move4" dataDxfId="255"/>
    <tableColumn id="22" xr3:uid="{CA73C087-C98E-430D-BDAB-2A59DD4BA0FC}" name="Move4Type" dataDxfId="254">
      <calculatedColumnFormula>IFERROR(_xlfn.XLOOKUP(TeamData[[#This Row],[Move4]],MoveData[Move],MoveData[Type]),"")</calculatedColumnFormula>
    </tableColumn>
    <tableColumn id="26" xr3:uid="{65788B79-169D-4E5E-A1A4-A08F0D9C6F6E}" name="Move4Power" dataDxfId="253">
      <calculatedColumnFormula>IFERROR(_xlfn.XLOOKUP(TeamData[[#This Row],[Move4]],MoveData[Move],MoveData[Power]),"")</calculatedColumnFormula>
    </tableColumn>
    <tableColumn id="17" xr3:uid="{1546BFE2-F18D-432B-ABE0-8A4589D3EF12}" name="Move4Category" dataDxfId="252">
      <calculatedColumnFormula>IFERROR(_xlfn.XLOOKUP(TeamData[[#This Row],[Move4]],MoveData[Move],MoveData[Category]),"")</calculatedColumnFormula>
    </tableColumn>
    <tableColumn id="29" xr3:uid="{C09E0F1B-897E-4808-B0A9-838E52B3FDE6}" name="Move4Accuracy" dataDxfId="251">
      <calculatedColumnFormula>IFERROR(_xlfn.XLOOKUP(TeamData[[#This Row],[Move4]],MoveData[Move],MoveData[Accuracy]),"")</calculatedColumnFormula>
    </tableColumn>
    <tableColumn id="30" xr3:uid="{09345278-BA97-4DF2-AE19-FF32484E30CC}" name="Ability" dataDxfId="250"/>
    <tableColumn id="33" xr3:uid="{76B5814A-5271-47EC-ACA2-12FC6D165DB6}" name="Held Item" dataDxfId="249"/>
    <tableColumn id="32" xr3:uid="{B2A6CF37-41D7-4640-A307-65D826A6801F}" name="EffectiveDEF" dataDxfId="248">
      <calculatedColumnFormula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_xlpm.statAffected="DEF")), _xlpm.multiplier, 1),
    TeamData[[#This Row],[DEF]] * _xlpm.finalMult
)</calculatedColumnFormula>
    </tableColumn>
    <tableColumn id="34" xr3:uid="{377978C0-C0C8-4711-AE16-721A555DA749}" name="EffectiveSPD" dataDxfId="247">
      <calculatedColumnFormula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_xlpm.statAffected="SPD")), _xlpm.multiplier, 1),
    TeamData[[#This Row],[SPD]] * _xlpm.finalMult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0B070-4957-4649-98B5-44EEF17ADB5D}" name="AbilityRules" displayName="AbilityRules" ref="A1:E31" totalsRowShown="0" headerRowDxfId="246">
  <autoFilter ref="A1:E31" xr:uid="{62D0B070-4957-4649-98B5-44EEF17ADB5D}"/>
  <tableColumns count="5">
    <tableColumn id="1" xr3:uid="{D88F7AF3-DBCC-4242-931F-4FF8B7E258C4}" name="Ability"/>
    <tableColumn id="2" xr3:uid="{94E019F8-B78F-4ADA-A127-E32E7A94B1CA}" name="Effect"/>
    <tableColumn id="3" xr3:uid="{2B69D11E-490F-412D-B78E-6A10C70340F4}" name="TargetType"/>
    <tableColumn id="4" xr3:uid="{4400CA52-8378-4AB5-81F5-D45861D2EB49}" name="Modifier"/>
    <tableColumn id="5" xr3:uid="{AF63ABB5-78ED-41BA-A1E0-5B0772BB53E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76CDEB-3F57-48B9-A186-B3ABD9CC66B7}" name="MoveData" displayName="MoveData" ref="A1:R755">
  <autoFilter ref="A1:R755" xr:uid="{0276CDEB-3F57-48B9-A186-B3ABD9CC66B7}"/>
  <tableColumns count="18">
    <tableColumn id="1" xr3:uid="{ED2C132A-4E99-4F97-9CF0-C8CCD3949A18}" name="Move"/>
    <tableColumn id="2" xr3:uid="{848EFD65-4B8A-4D31-AAF1-F50E5911D2C3}" name="Power"/>
    <tableColumn id="3" xr3:uid="{8D09A561-E804-4594-BAD8-B458D6F8BA2B}" name="Type"/>
    <tableColumn id="4" xr3:uid="{D9FCA817-F975-4A35-A970-39FCA7E62C70}" name="Category"/>
    <tableColumn id="5" xr3:uid="{CCBBCE87-1A58-4D2B-A92E-F2ED5697840A}" name="Accuracy"/>
    <tableColumn id="6" xr3:uid="{046AD73C-EFE1-4D10-B512-C0A4C436C9F0}" name="Hits"/>
    <tableColumn id="7" xr3:uid="{33276B8F-025E-4E5C-8F16-252BE73CBEDC}" name="MakesContact"/>
    <tableColumn id="8" xr3:uid="{AB392AB9-9FA7-4DF1-A956-D5DA0B9B8A1F}" name="Priority"/>
    <tableColumn id="9" xr3:uid="{83887A9C-F39E-41FD-A6D4-4398DB7717E4}" name="DamageMethod"/>
    <tableColumn id="10" xr3:uid="{6CEFAEA4-C8E7-412C-8925-29692DD4AE87}" name="MechanicsNotes"/>
    <tableColumn id="11" xr3:uid="{DDE688D1-7EB2-42BD-8BE3-E314C5481857}" name="ActivationCondition"/>
    <tableColumn id="12" xr3:uid="{A3D37167-158E-435B-8703-C192177E8F72}" name="StatusEffect"/>
    <tableColumn id="13" xr3:uid="{005EE62F-C9ED-4671-B18D-F1A8215C1186}" name="ActivationPowerMultiplier"/>
    <tableColumn id="14" xr3:uid="{468CCF7D-48AD-45B5-A249-DCA3B87DFA87}" name="AtkStageChange"/>
    <tableColumn id="15" xr3:uid="{2456C1EE-CFFD-482E-B21D-1099EE10BFF5}" name="DefStageChange"/>
    <tableColumn id="16" xr3:uid="{D201BD1A-B1D0-4873-AE12-7533C2FD6563}" name="SpAStageChange"/>
    <tableColumn id="17" xr3:uid="{2B303AEE-BA88-4429-8936-E2DC92DFDA4A}" name="SpDStageChange"/>
    <tableColumn id="18" xr3:uid="{7123D9E4-71E4-4C8C-ABE7-595124A95C34}" name="SpeStageChan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788B5E-81E8-4FB0-9CDF-D7B7BDECD161}" name="TypeChart" displayName="TypeChart" ref="A1:S19" totalsRowShown="0">
  <autoFilter ref="A1:S19" xr:uid="{4F788B5E-81E8-4FB0-9CDF-D7B7BDECD161}"/>
  <tableColumns count="19">
    <tableColumn id="1" xr3:uid="{9992AEF9-1E97-4F43-878F-DB2CB020855E}" name="AttackType ↓ / DefendingType →"/>
    <tableColumn id="2" xr3:uid="{93B3D26D-F3A1-43C6-83FF-A45246B130C3}" name="Normal"/>
    <tableColumn id="3" xr3:uid="{801E797B-887B-43DA-98D7-C510B9699D8A}" name="Fire"/>
    <tableColumn id="4" xr3:uid="{A259563A-4276-4537-89B9-08F8704DE29F}" name="Water"/>
    <tableColumn id="5" xr3:uid="{3709AA9D-7180-4F19-A519-42334BE2DB06}" name="Electric"/>
    <tableColumn id="6" xr3:uid="{7BF2FC07-0001-4DE6-8ABC-A15638E27438}" name="Grass"/>
    <tableColumn id="7" xr3:uid="{1F5B5753-9220-4A90-8A4E-92F8491E252F}" name="Ice"/>
    <tableColumn id="8" xr3:uid="{BBA0C225-1303-4046-B0AC-0F069875E062}" name="Fighting"/>
    <tableColumn id="9" xr3:uid="{87A2AA04-38E2-4C1C-8240-4F362498AEB4}" name="Poison"/>
    <tableColumn id="10" xr3:uid="{318EEED2-ADCF-4413-90CA-34C91205A220}" name="Ground"/>
    <tableColumn id="11" xr3:uid="{81317AE2-DD34-4346-8C22-3FC4CFBEE9AF}" name="Flying"/>
    <tableColumn id="12" xr3:uid="{2EAAA260-FB4D-468F-B759-C35B78814F33}" name="Psychic"/>
    <tableColumn id="13" xr3:uid="{3E0074C4-8F88-45BB-BA11-4808A9943153}" name="Bug"/>
    <tableColumn id="14" xr3:uid="{14CA239D-5F42-497B-AF90-75B0501AD6EC}" name="Rock"/>
    <tableColumn id="15" xr3:uid="{0D8BF413-B485-43BA-96D6-4FFEE6C34111}" name="Ghost"/>
    <tableColumn id="16" xr3:uid="{C9B235B6-A05C-428C-9098-C867044AB9FC}" name="Dragon"/>
    <tableColumn id="17" xr3:uid="{3F732931-7C1D-4AEA-A235-AAE873BF7905}" name="Dark"/>
    <tableColumn id="18" xr3:uid="{FF0040E8-16F5-4BEB-940F-57BC3604E323}" name="Steel"/>
    <tableColumn id="19" xr3:uid="{0D615A25-C562-4F76-A8B1-E44000D6BAAE}" name="Fai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51764D-0F56-4203-B7FB-992E3C2B7D5D}" name="Opponent" displayName="Opponent" ref="A1:AK173" totalsRowShown="0" headerRowDxfId="245" dataDxfId="244">
  <autoFilter ref="A1:AK173" xr:uid="{8051764D-0F56-4203-B7FB-992E3C2B7D5D}"/>
  <sortState xmlns:xlrd2="http://schemas.microsoft.com/office/spreadsheetml/2017/richdata2" ref="A2:AI119">
    <sortCondition ref="C1:C119"/>
  </sortState>
  <tableColumns count="37">
    <tableColumn id="1" xr3:uid="{6729D897-7907-4916-9C6E-F19C70F8D3AC}" name="Trainer" dataDxfId="243"/>
    <tableColumn id="2" xr3:uid="{DDD4699A-5CCA-4684-8E80-339CBBDC1DE3}" name="Battle" dataDxfId="242"/>
    <tableColumn id="33" xr3:uid="{83A2AC87-64F9-4C65-AD8E-91C6D56BB566}" name="BattleOrder" dataDxfId="241"/>
    <tableColumn id="3" xr3:uid="{F9BCA86A-1E18-4985-B010-C7DEAC0FC0DF}" name="Slot" dataDxfId="240"/>
    <tableColumn id="4" xr3:uid="{21E1AC3F-6741-49C1-8802-18D6C06383C2}" name="Pokemon" dataDxfId="239"/>
    <tableColumn id="5" xr3:uid="{4C5709B0-E8FC-4ECF-A66F-0321622BA174}" name="Type1" dataDxfId="238"/>
    <tableColumn id="6" xr3:uid="{18B882FF-8B53-48A4-8F79-71FDC6EACFFB}" name="Type2" dataDxfId="237"/>
    <tableColumn id="23" xr3:uid="{2DBCF236-95D8-4516-9418-C760EBAA3846}" name="HP" dataDxfId="236"/>
    <tableColumn id="24" xr3:uid="{6AFD7198-4FD4-4C9B-B390-821A22F8549B}" name="ATK" dataDxfId="235"/>
    <tableColumn id="29" xr3:uid="{5735DBCE-4E7C-4C60-98C9-688F5D8EA565}" name="DEF" dataDxfId="234"/>
    <tableColumn id="30" xr3:uid="{4888BF97-EAEF-4BF4-8C6F-0DB132140351}" name="SPA" dataDxfId="233"/>
    <tableColumn id="31" xr3:uid="{C90349A5-3001-4C5B-8834-B29A38AA190B}" name="SPD" dataDxfId="232"/>
    <tableColumn id="32" xr3:uid="{948F3154-49DB-48CE-8FDF-7662D033D848}" name="SPE" dataDxfId="231"/>
    <tableColumn id="34" xr3:uid="{2281E7C3-1BFD-44D6-98F9-031C791539EE}" name="Level" dataDxfId="230"/>
    <tableColumn id="35" xr3:uid="{3EA2D6F6-505C-425A-AED1-48759206BC6C}" name="Notes" dataDxfId="229"/>
    <tableColumn id="7" xr3:uid="{04A0CD7C-B78E-4F1A-AB30-E100860A8887}" name="Move1" dataDxfId="228"/>
    <tableColumn id="8" xr3:uid="{597FE162-1B0D-43F5-B47E-5E6BC9D58643}" name="Move1Type" dataDxfId="227">
      <calculatedColumnFormula>IFERROR(VLOOKUP(P2,MoveData[],3,FALSE),"")</calculatedColumnFormula>
    </tableColumn>
    <tableColumn id="9" xr3:uid="{DE6EE352-FBFE-4B84-9E4F-0A9AF8618878}" name="Move1Category" dataDxfId="226">
      <calculatedColumnFormula>IFERROR(VLOOKUP(P2,MoveData[],4,FALSE),"")</calculatedColumnFormula>
    </tableColumn>
    <tableColumn id="19" xr3:uid="{C929613F-88CF-4B74-B347-1BFCBCF9056F}" name="Move1Power" dataDxfId="225"/>
    <tableColumn id="20" xr3:uid="{F48FB253-F14D-4377-8180-8A50499F3DB2}" name="Move1Accuracy" dataDxfId="224"/>
    <tableColumn id="10" xr3:uid="{B77F83C5-4FF2-40D2-8F90-38A8FDED53BA}" name="Move2" dataDxfId="223"/>
    <tableColumn id="11" xr3:uid="{1AE06CB7-AA8A-4B3B-8733-4AA66B2FD843}" name="Move2Type" dataDxfId="222">
      <calculatedColumnFormula>IFERROR(VLOOKUP(U2,MoveData[],3,FALSE),"")</calculatedColumnFormula>
    </tableColumn>
    <tableColumn id="12" xr3:uid="{20B4E869-2779-48AF-9B08-F0E1D49554F4}" name="Move2Category" dataDxfId="221">
      <calculatedColumnFormula>IFERROR(VLOOKUP(U2,MoveData[],4,FALSE),"")</calculatedColumnFormula>
    </tableColumn>
    <tableColumn id="21" xr3:uid="{C8759B8B-DC83-461C-8E67-57CE7B52FBCC}" name="Move2Power" dataDxfId="220"/>
    <tableColumn id="22" xr3:uid="{D43E664D-42C0-4F2B-8D25-C898CAAC9294}" name="Move2Accuracy" dataDxfId="219"/>
    <tableColumn id="13" xr3:uid="{CCB33DD1-2DB1-4216-8610-D257EA3F5BF8}" name="Move3" dataDxfId="218"/>
    <tableColumn id="14" xr3:uid="{711C4844-E627-4FE0-93A4-47AEBE0D0AC7}" name="Move3Type" dataDxfId="217">
      <calculatedColumnFormula>IFERROR(VLOOKUP(Z2,MoveData[],3,FALSE),"")</calculatedColumnFormula>
    </tableColumn>
    <tableColumn id="15" xr3:uid="{C68BDCBB-1ECB-42DE-AD7C-52227AA1BC53}" name="Move3Category" dataDxfId="216">
      <calculatedColumnFormula>IFERROR(VLOOKUP(Z2,MoveData[],4,FALSE),"")</calculatedColumnFormula>
    </tableColumn>
    <tableColumn id="27" xr3:uid="{C4E58036-03AE-4651-877D-B925EE3A2102}" name="Move3Power" dataDxfId="215"/>
    <tableColumn id="28" xr3:uid="{68FB443A-D2A1-4CB0-89F6-AADE0578617E}" name="Move3Accuracy" dataDxfId="214"/>
    <tableColumn id="16" xr3:uid="{305F3CF3-48D0-445B-B6DD-B94932BD48E9}" name="Move4" dataDxfId="213"/>
    <tableColumn id="17" xr3:uid="{9CD44191-E116-4895-B1FE-5732E91C22DA}" name="Move4Type" dataDxfId="212">
      <calculatedColumnFormula>IFERROR(VLOOKUP(AE2,MoveData[],3,FALSE),"")</calculatedColumnFormula>
    </tableColumn>
    <tableColumn id="18" xr3:uid="{AFCB8C2D-5C55-40BC-8B54-897B2B2B4C2E}" name="Move4Category" dataDxfId="211">
      <calculatedColumnFormula>IFERROR(VLOOKUP(AE2,MoveData[],4,FALSE),"")</calculatedColumnFormula>
    </tableColumn>
    <tableColumn id="25" xr3:uid="{133C3800-9CD1-4668-BA80-213FFF8FB3C0}" name="Move4Power" dataDxfId="210"/>
    <tableColumn id="26" xr3:uid="{1C98C085-4DF5-48F3-A101-6C5273B45B6B}" name="Move4Accuracy" dataDxfId="209"/>
    <tableColumn id="36" xr3:uid="{48DC0FAC-FE60-4E12-B806-D28F6ED34CE7}" name="Ability" dataDxfId="208"/>
    <tableColumn id="37" xr3:uid="{73F727F1-439D-42DA-82A8-F243F7F02F9F}" name="AbilityNotes" dataDxfId="20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BEF5A1-9B03-4C35-82CF-36030E99A159}" name="Calculator" displayName="Calculator" ref="A9:M15" totalsRowShown="0" headerRowDxfId="453" dataDxfId="452">
  <autoFilter ref="A9:M15" xr:uid="{29BEF5A1-9B03-4C35-82CF-36030E99A159}"/>
  <tableColumns count="13">
    <tableColumn id="1" xr3:uid="{7C942501-F9A7-496C-BD90-CBB2E7F69EF3}" name="Team Member" dataDxfId="205">
      <calculatedColumnFormula>IF('Team Data'!A2="","",'Team Data'!A2)</calculatedColumnFormula>
    </tableColumn>
    <tableColumn id="2" xr3:uid="{99C41315-1BA9-45F0-AEB7-78D6FC5AA0CA}" name="Best Move" dataDxfId="204">
      <calculatedColumnFormula array="1">IFERROR(INDEX(N10:AL10,1,MATCH(FU10,CHOOSE({1,2,3,4},IF(U10="",0,U10),IF(AC10="",0,AC10),IF(AK10="",0,AK10),IF(AS10="",0,AS10)),0)*8-7),"")</calculatedColumnFormula>
    </tableColumn>
    <tableColumn id="3" xr3:uid="{FF09246C-48FB-4C4F-9844-33D50E20632C}" name="Best Move Type" dataDxfId="203">
      <calculatedColumnFormula array="1">IFERROR(INDEX(N10:AM10,1,MATCH(FU10,CHOOSE({1,2,3,4},IF(U10="",0,U10),IF(AC10="",0,AC10),IF(AK10="",0,AK10),IF(AS10="",0,AS10)),0)*8-6),"")</calculatedColumnFormula>
    </tableColumn>
    <tableColumn id="4" xr3:uid="{0138444D-3F06-487F-BF5C-384D8A08BB9A}" name="Offensive Multiplier" dataDxfId="202">
      <calculatedColumnFormula array="1">IFERROR(INDEX(N10:AS10,1,MATCH(FU10,CHOOSE({1,2,3,4},IF(U10="",0,U10),IF(AC10="",0,AC10),IF(AK10="",0,AK10),IF(AS10="",0,AS10)),0)*8-3),"")</calculatedColumnFormula>
    </tableColumn>
    <tableColumn id="8" xr3:uid="{588C24DC-6803-4938-B38B-A47BBF5A111A}" name="Best Move Score" dataDxfId="201">
      <calculatedColumnFormula>IF(A10="","",IF(FU10="","",TEXT(FU10,"0.00")&amp;IF(FS10,"*","")))</calculatedColumnFormula>
    </tableColumn>
    <tableColumn id="5" xr3:uid="{FA348913-C06E-4B99-976A-B92418C0A3AE}" name="Incoming Worst Score" dataDxfId="200">
      <calculatedColumnFormula>IF(A10="","",IF(FV10="","",TEXT(FV10,"0.00")&amp;IF(FT10,"*","")))</calculatedColumnFormula>
    </tableColumn>
    <tableColumn id="9" xr3:uid="{A9AA5E8C-08AF-4C94-AE26-59A1BA242CCB}" name="Ratio" dataDxfId="199">
      <calculatedColumnFormula>IF(A10="","",MIN(ROUND(FU10/MAX(FV10,0.001),2),999))</calculatedColumnFormula>
    </tableColumn>
    <tableColumn id="7" xr3:uid="{C7CA624D-8ACA-434D-99CA-CB0415099098}" name="Incoming Worst Move" dataDxfId="197">
      <calculatedColumnFormula>IF($A10="","",IF(F10=IFERROR(INDEX(Opponent[Move1Power],MATCH($B$3,Opponent[Pokemon],0))*INDEX(TypeChart[],MATCH(INDEX(Opponent[Move1Type],MATCH($B$3,Opponent[Pokemon],0)),TypeChart[AttackType ↓ / DefendingType →],0),MATCH(INDEX(TeamData[Type1],MATCH(A10,TeamData[Pokemon],0)),TypeChart[#Headers],0))*IF(INDEX(TeamData[Type2],MATCH(A10,TeamData[Pokemon],0))="",1,INDEX(TypeChart[],MATCH(INDEX(Opponent[Move1Type],MATCH($B$3,Opponent[Pokemon],0)),TypeChart[AttackType ↓ / DefendingType →],0),MATCH(INDEX(TeamData[Type2],MATCH(A10,TeamData[Pokemon],0)),TypeChart[#Headers],0)))*IF(INDEX(Opponent[Move1Category],MATCH($B$3,Opponent[Pokemon],0))="Physical",100/INDEX(TeamData[DEF],MATCH(A10,TeamData[Pokemon],0)),IF(INDEX(Opponent[Move1Category],MATCH($B$3,Opponent[Pokemon],0))="Special",100/INDEX(TeamData[SPD],MATCH(A10,TeamData[Pokemon],0)),0)),0),INDEX(Opponent[Move1],MATCH($B$3,Opponent[Pokemon],0))&amp;" ("&amp;INDEX(Opponent[Move1Category],MATCH($B$3,Opponent[Pokemon],0))&amp;")",IF(F10=IFERROR(INDEX(Opponent[Move2Power],MATCH($B$3,Opponent[Pokemon],0))*INDEX(TypeChart[],MATCH(INDEX(Opponent[Move2Type],MATCH($B$3,Opponent[Pokemon],0)),TypeChart[AttackType ↓ / DefendingType →],0),MATCH(INDEX(TeamData[Type1],MATCH(A10,TeamData[Pokemon],0)),TypeChart[#Headers],0))*IF(INDEX(TeamData[Type2],MATCH(A10,TeamData[Pokemon],0))="",1,INDEX(TypeChart[],MATCH(INDEX(Opponent[Move2Type],MATCH($B$3,Opponent[Pokemon],0)),TypeChart[AttackType ↓ / DefendingType →],0),MATCH(INDEX(TeamData[Type2],MATCH(A10,TeamData[Pokemon],0)),TypeChart[#Headers],0)))*IF(INDEX(Opponent[Move2Category],MATCH($B$3,Opponent[Pokemon],0))="Physical",100/INDEX(TeamData[DEF],MATCH(A10,TeamData[Pokemon],0)),IF(INDEX(Opponent[Move2Category],MATCH($B$3,Opponent[Pokemon],0))="Special",100/INDEX(TeamData[SPD],MATCH(A10,TeamData[Pokemon],0)),0)),0),INDEX(Opponent[Move2],MATCH($B$3,Opponent[Pokemon],0))&amp;" ("&amp;INDEX(Opponent[Move2Category],MATCH($B$3,Opponent[Pokemon],0))&amp;")",IF(F10=IFERROR(INDEX(Opponent[Move3Power],MATCH($B$3,Opponent[Pokemon],0))*INDEX(TypeChart[],MATCH(INDEX(Opponent[Move3Type],MATCH($B$3,Opponent[Pokemon],0)),TypeChart[AttackType ↓ / DefendingType →],0),MATCH(INDEX(TeamData[Type1],MATCH(A10,TeamData[Pokemon],0)),TypeChart[#Headers],0))*IF(INDEX(TeamData[Type2],MATCH(A10,TeamData[Pokemon],0))="",1,INDEX(TypeChart[],MATCH(INDEX(Opponent[Move3Type],MATCH($B$3,Opponent[Pokemon],0)),TypeChart[AttackType ↓ / DefendingType →],0),MATCH(INDEX(TeamData[Type2],MATCH(A10,TeamData[Pokemon],0)),TypeChart[#Headers],0)))*IF(INDEX(Opponent[Move3Category],MATCH($B$3,Opponent[Pokemon],0))="Physical",100/INDEX(TeamData[DEF],MATCH(A10,TeamData[Pokemon],0)),IF(INDEX(Opponent[Move3Category],MATCH($B$3,Opponent[Pokemon],0))="Special",100/INDEX(TeamData[SPD],MATCH(A10,TeamData[Pokemon],0)),0)),0),INDEX(Opponent[Move3],MATCH($B$3,Opponent[Pokemon],0))&amp;" ("&amp;INDEX(Opponent[Move3Category],MATCH($B$3,Opponent[Pokemon],0))&amp;")",INDEX(Opponent[Move4],MATCH($B$3,Opponent[Pokemon],0))&amp;" ("&amp;INDEX(Opponent[Move4Category],MATCH($B$3,Opponent[Pokemon],0))&amp;")"))))</calculatedColumnFormula>
    </tableColumn>
    <tableColumn id="13" xr3:uid="{7091E4A2-39D6-4E1B-8C79-85F0BFB69BDA}" name="Incoming Multiplier" dataDxfId="198">
      <calculatedColumnFormula>IF(A10="","",IF(DW10,0,INDEX(TypeChart[],MATCH(K10,TypeChart[AttackType ↓ / DefendingType →],0),MATCH(INDEX(TeamData[Type1],MATCH(A10,TeamData[Pokemon],0)),TypeChart[#Headers],0))*IF(INDEX(TeamData[Type2],MATCH(A10,TeamData[Pokemon],0))="",1,INDEX(TypeChart[],MATCH(K10,TypeChart[AttackType ↓ / DefendingType →],0),MATCH(INDEX(TeamData[Type2],MATCH(A10,TeamData[Pokemon],0)),TypeChart[#Headers],0)))))</calculatedColumnFormula>
    </tableColumn>
    <tableColumn id="6" xr3:uid="{05B57B77-ED72-4C09-9157-98E7388E05BF}" name="Notes" dataDxfId="451">
      <calculatedColumnFormula>IF(A10="","",_xlfn.LET(
        _xlpm.immuneNote, IF(DW10,"Immune to opponent's attacks",""),
        _xlpm.dmaxNote, DG10,
        _xlpm.ohkoNote, DH10,
        _xlpm.incomingOHKONote, ES10,
        _xlpm.priorityNote, DV10,
        _xlpm.contactRiskNote, ER10,
        _xlpm.abilityTacticalNote, ET10,
        _xlpm.mechanicsNote, DJ10,
        _xlpm.condBoostedNote, FJ10,
        _xlpm.bodyPressNote, FN10,
        _xlpm.otherNotes, TRIM(_xlfn.TEXTJOIN("; ", TRUE, _xlpm.immuneNote, _xlpm.ohkoNote, _xlpm.incomingOHKONote, _xlpm.priorityNote, _xlpm.contactRiskNote, _xlpm.abilityTacticalNote, _xlpm.mechanicsNote, _xlpm.condBoostedNote, _xlpm.bodyPressNote)),
        IF(AND(_xlpm.dmaxNote&lt;&gt;"", _xlpm.otherNotes&lt;&gt;""), _xlpm.dmaxNote&amp;"; "&amp;_xlpm.otherNotes, IF(_xlpm.dmaxNote&lt;&gt;"", _xlpm.dmaxNote, _xlpm.otherNotes))
    ))</calculatedColumnFormula>
    </tableColumn>
    <tableColumn id="10" xr3:uid="{077DF175-A7AE-4DDD-8E9D-9D0A972EB6F1}" name="IncomingMoveType" dataDxfId="450">
      <calculatedColumnFormula array="1">IF(A10="","",_xlfn.LET(
        _xlpm.moveName, LEFT(H10,IFERROR(FIND(" (",H10)-1,LEN(H10))),
        _xlpm.oppMove1, INDEX(Opponent[Move1],MATCH(1,(Opponent[Pokemon]=$B$4)*(Opponent[Battle]=$B$3),0)),
        _xlpm.oppMove2, INDEX(Opponent[Move2],MATCH(1,(Opponent[Pokemon]=$B$4)*(Opponent[Battle]=$B$3),0)),
        _xlpm.oppMove3, INDEX(Opponent[Move3],MATCH(1,(Opponent[Pokemon]=$B$4)*(Opponent[Battle]=$B$3),0)),
        _xlpm.oppMove4, INDEX(Opponent[Move4],MATCH(1,(Opponent[Pokemon]=$B$4)*(Opponent[Battle]=$B$3),0)),
        IF(_xlpm.moveName=_xlpm.oppMove1, INDEX(Opponent[Move1Type],MATCH(1,(Opponent[Pokemon]=$B$4)*(Opponent[Battle]=$B$3),0)),
        IF(_xlpm.moveName=_xlpm.oppMove2, INDEX(Opponent[Move2Type],MATCH(1,(Opponent[Pokemon]=$B$4)*(Opponent[Battle]=$B$3),0)),
        IF(_xlpm.moveName=_xlpm.oppMove3, INDEX(Opponent[Move3Type],MATCH(1,(Opponent[Pokemon]=$B$4)*(Opponent[Battle]=$B$3),0)),
        IF(_xlpm.moveName=_xlpm.oppMove4, INDEX(Opponent[Move4Type],MATCH(1,(Opponent[Pokemon]=$B$4)*(Opponent[Battle]=$B$3),0)),
        ""))))
    ))</calculatedColumnFormula>
    </tableColumn>
    <tableColumn id="11" xr3:uid="{13777665-0F65-411F-9D01-5D6269961777}" name="OpponentLevel" dataDxfId="449"/>
    <tableColumn id="12" xr3:uid="{0CDB403D-B031-41C7-B205-9A0A7F05B00D}" name="ApproxOpponentATK" dataDxfId="4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D850AB-A138-4239-AE65-E9AAC7626C9E}" name="Table8" displayName="Table8" ref="N9:FV15" totalsRowShown="0" headerRowDxfId="447" dataDxfId="446">
  <autoFilter ref="N9:FV15" xr:uid="{9AD850AB-A138-4239-AE65-E9AAC7626C9E}"/>
  <tableColumns count="165">
    <tableColumn id="1" xr3:uid="{C638385C-7BD1-462B-B9FC-62FDEB216635}" name="Move1" dataDxfId="445">
      <calculatedColumnFormula>_xlfn.XLOOKUP($A10,TeamData[Pokemon],TeamData[Move1])</calculatedColumnFormula>
    </tableColumn>
    <tableColumn id="2" xr3:uid="{39EAB33F-0C12-4284-90CC-49CEBE478EE6}" name="Move1Type" dataDxfId="444">
      <calculatedColumnFormula>_xlfn.XLOOKUP($A10,TeamData[Pokemon],TeamData[Move1Type])</calculatedColumnFormula>
    </tableColumn>
    <tableColumn id="3" xr3:uid="{59E3E6CD-5FDD-4762-B985-07E90D6811E1}" name="Move1Power" dataDxfId="443">
      <calculatedColumnFormula>_xlfn.XLOOKUP($A10,TeamData[Pokemon],TeamData[Move1Power])</calculatedColumnFormula>
    </tableColumn>
    <tableColumn id="4" xr3:uid="{6945A73A-3BF8-441B-83EA-19CC93E99DCB}" name="Move1Category" dataDxfId="442">
      <calculatedColumnFormula>_xlfn.XLOOKUP($A10,TeamData[Pokemon],TeamData[Move1Category])</calculatedColumnFormula>
    </tableColumn>
    <tableColumn id="5" xr3:uid="{25A3DA98-0B83-4D38-9835-45CF92BC8FB1}" name="Move1Effectiveness" dataDxfId="441">
      <calculatedColumnFormula>INDEX(TypeChart[],MATCH(O10,TypeChart[AttackType ↓ / DefendingType →],0),MATCH($N$2,TypeChart[#Headers],0))
*
IF(OR($O$2="",$O$2=0),1,
INDEX(TypeChart[],MATCH(O10,TypeChart[AttackType ↓ / DefendingType →],0),MATCH($O$2,TypeChart[#Headers],0)))</calculatedColumnFormula>
    </tableColumn>
    <tableColumn id="25" xr3:uid="{8269501E-95A2-464F-BD5F-9D059500DA14}" name="Move1STAB" dataDxfId="440">
      <calculatedColumnFormula>IF(OR(O10=INDEX(TeamData[Type1],MATCH(A10,TeamData[Pokemon],0)),O10=INDEX(TeamData[Type2],MATCH(A10,TeamData[Pokemon],0))),$BH10,1)</calculatedColumnFormula>
    </tableColumn>
    <tableColumn id="26" xr3:uid="{9CD115FB-5612-49AB-81AF-DACB8D9204D8}" name="Move1Ratio" dataDxfId="439">
      <calculatedColumnFormula>R10*S10</calculatedColumnFormula>
    </tableColumn>
    <tableColumn id="6" xr3:uid="{1984527D-0E40-4E56-8EFA-B78B88ADD011}" name="Move1Score" dataDxfId="438">
      <calculatedColumnFormula array="1">_xlfn.LET(
    _xlpm.dmgMethod, DL10,
    _xlpm.movePower, P10,
    _xlpm.moveCategory, Q10,
    _xlpm.moveType, O10,
    _xlpm.moveHits, IFERROR(VLOOKUP(N10,MoveData[],6,FALSE),1),
    _xlpm.effectiveness, R10,
    _xlpm.stabMod, S10,
    _xlpm.techMod, $BJ10,
    _xlpm.outMod, $CD10,
    _xlpm.atkMod, $BI10,
    _xlpm.teamATK, _xlfn.XLOOKUP($A10,TeamData[Pokemon],TeamData[ATK]),
    _xlpm.teamSPA, _xlfn.XLOOKUP($A10,TeamData[Pokemon],TeamData[SPA]),
    _xlpm.teamDEF, _xlfn.XLOOKUP($A10,TeamData[Pokemon],TeamData[DEF]),
    _xlpm.oppATK, $AU10,
    _xlpm.oppDEF, $AV10,
    _xlpm.oppSPD, $AX10,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calculatedColumnFormula>
    </tableColumn>
    <tableColumn id="7" xr3:uid="{4F2E1237-AB3E-42E8-BDF9-B8317C5D5B95}" name="Move2" dataDxfId="437">
      <calculatedColumnFormula>_xlfn.XLOOKUP($A10,TeamData[Pokemon],TeamData[Move2])</calculatedColumnFormula>
    </tableColumn>
    <tableColumn id="8" xr3:uid="{DB503681-3FA3-4158-B219-785597D05497}" name="Move2Type" dataDxfId="436">
      <calculatedColumnFormula>_xlfn.XLOOKUP($A10,TeamData[Pokemon],TeamData[Move2Type])</calculatedColumnFormula>
    </tableColumn>
    <tableColumn id="9" xr3:uid="{B38F6FC9-4E1B-4664-B834-9A1B781A7E32}" name="Move2Power" dataDxfId="435">
      <calculatedColumnFormula>_xlfn.XLOOKUP($A10,TeamData[Pokemon],TeamData[Move2Power])</calculatedColumnFormula>
    </tableColumn>
    <tableColumn id="10" xr3:uid="{C819CB4E-A04B-4BCC-8220-17968C5B49E3}" name="Move2Category" dataDxfId="434">
      <calculatedColumnFormula>_xlfn.XLOOKUP($A10,TeamData[Pokemon],TeamData[Move2Category])</calculatedColumnFormula>
    </tableColumn>
    <tableColumn id="11" xr3:uid="{1F95A916-3284-40FE-A39D-E221B9676729}" name="Move2Effectiveness" dataDxfId="433">
      <calculatedColumnFormula>INDEX(TypeChart[],MATCH(W10,TypeChart[AttackType ↓ / DefendingType →],0),MATCH($N$2,TypeChart[#Headers],0))*IF(OR($O$2="",$O$2=0),1,INDEX(TypeChart[],MATCH(W10,TypeChart[AttackType ↓ / DefendingType →],0),MATCH($O$2,TypeChart[#Headers],0)))</calculatedColumnFormula>
    </tableColumn>
    <tableColumn id="27" xr3:uid="{F9B216BA-CD34-404F-A8A1-E26264106F48}" name="Move2STAB" dataDxfId="432">
      <calculatedColumnFormula>IF(OR(W10=INDEX(TeamData[Type1],MATCH(A10,TeamData[Pokemon],0)),W10=INDEX(TeamData[Type2],MATCH(A10,TeamData[Pokemon],0))),$BH10,1)</calculatedColumnFormula>
    </tableColumn>
    <tableColumn id="28" xr3:uid="{68122F53-0ECA-4F26-BDFD-573F0FE8EBDD}" name="Move2Ratio" dataDxfId="431">
      <calculatedColumnFormula>Z10*AA10</calculatedColumnFormula>
    </tableColumn>
    <tableColumn id="12" xr3:uid="{5C9F3324-868F-450B-8BE0-28D536C02681}" name="Move2Score" dataDxfId="430">
      <calculatedColumnFormula array="1">_xlfn.LET(
    _xlpm.dmgMethod, DM10,
    _xlpm.movePower, X10,
    _xlpm.moveCategory, Y10,
    _xlpm.moveType, W10,
    _xlpm.moveHits, IFERROR(VLOOKUP(V10,MoveData[],6,FALSE),1),
    _xlpm.effectiveness, Z10,
    _xlpm.stabMod, AA10,
    _xlpm.techMod, $BK10,
    _xlpm.outMod, $CE10,
    _xlpm.atkMod, $BI10,
    _xlpm.teamATK, _xlfn.XLOOKUP($A10,TeamData[Pokemon],TeamData[ATK]),
    _xlpm.teamSPA, _xlfn.XLOOKUP($A10,TeamData[Pokemon],TeamData[SPA]),
    _xlpm.teamDEF, _xlfn.XLOOKUP($A10,TeamData[Pokemon],TeamData[DEF]),
    _xlpm.oppATK, $AU10,
    _xlpm.oppDEF, $AV10,
    _xlpm.oppSPD, $AX10,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calculatedColumnFormula>
    </tableColumn>
    <tableColumn id="13" xr3:uid="{FDF37CB4-BCF1-4E11-B58A-1B89D185949B}" name="Move3" dataDxfId="429">
      <calculatedColumnFormula>_xlfn.XLOOKUP($A10,TeamData[Pokemon],TeamData[Move3])</calculatedColumnFormula>
    </tableColumn>
    <tableColumn id="14" xr3:uid="{450E4058-C678-41D3-B2DC-3B68C7F5CA87}" name="Move3Type" dataDxfId="428">
      <calculatedColumnFormula>_xlfn.XLOOKUP($A10,TeamData[Pokemon],TeamData[Move3Type])</calculatedColumnFormula>
    </tableColumn>
    <tableColumn id="15" xr3:uid="{928CC8AD-7F56-489D-A959-0B82A66BF962}" name="Move3Power" dataDxfId="427">
      <calculatedColumnFormula>_xlfn.XLOOKUP($A10,TeamData[Pokemon],TeamData[Move3Power])</calculatedColumnFormula>
    </tableColumn>
    <tableColumn id="16" xr3:uid="{5496719F-BE9D-407A-85B2-9DC88CCF6349}" name="Move3Category" dataDxfId="426">
      <calculatedColumnFormula>_xlfn.XLOOKUP($A10,TeamData[Pokemon],TeamData[Move3Category])</calculatedColumnFormula>
    </tableColumn>
    <tableColumn id="17" xr3:uid="{F03888AF-2076-476A-B7EB-81732C07C4BE}" name="Move3Effectiveness" dataDxfId="425">
      <calculatedColumnFormula>INDEX(TypeChart[],MATCH(AE10,TypeChart[AttackType ↓ / DefendingType →],0),MATCH($N$2,TypeChart[#Headers],0))*IF(OR($O$2="",$O$2=0),1,INDEX(TypeChart[],MATCH(AE10,TypeChart[AttackType ↓ / DefendingType →],0),MATCH($O$2,TypeChart[#Headers],0)))</calculatedColumnFormula>
    </tableColumn>
    <tableColumn id="29" xr3:uid="{FB8E1DF5-4C31-4124-9135-802C35635814}" name="Move3STAB" dataDxfId="424">
      <calculatedColumnFormula>IF(OR(AE10=INDEX(TeamData[Type1],MATCH(A10,TeamData[Pokemon],0)),AE10=INDEX(TeamData[Type2],MATCH(A10,TeamData[Pokemon],0))),$BH10,1)</calculatedColumnFormula>
    </tableColumn>
    <tableColumn id="30" xr3:uid="{6BAD72EA-19B5-4B1F-9211-C5A706EADF5B}" name="Move3Ratio" dataDxfId="423">
      <calculatedColumnFormula>AH10*AI10</calculatedColumnFormula>
    </tableColumn>
    <tableColumn id="18" xr3:uid="{01CDF53E-68EE-4C2A-9CB0-AA46322F084A}" name="Move3Score" dataDxfId="422">
      <calculatedColumnFormula array="1">_xlfn.LET(
    _xlpm.dmgMethod, DN10,
    _xlpm.movePower, AF10,
    _xlpm.moveCategory, AG10,
    _xlpm.moveType, AE10,
    _xlpm.moveHits, IFERROR(VLOOKUP(AD10,MoveData[],6,FALSE),1),
    _xlpm.effectiveness, AH10,
    _xlpm.stabMod, AI10,
    _xlpm.techMod, $BL10,
    _xlpm.outMod, $CF10,
    _xlpm.atkMod, $BI10,
    _xlpm.teamATK, _xlfn.XLOOKUP($A10,TeamData[Pokemon],TeamData[ATK]),
    _xlpm.teamSPA, _xlfn.XLOOKUP($A10,TeamData[Pokemon],TeamData[SPA]),
    _xlpm.teamDEF, _xlfn.XLOOKUP($A10,TeamData[Pokemon],TeamData[DEF]),
    _xlpm.oppATK, $AU10,
    _xlpm.oppDEF, $AV10,
    _xlpm.oppSPD, $AX10,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calculatedColumnFormula>
    </tableColumn>
    <tableColumn id="19" xr3:uid="{34AEEB16-C1D9-4ABC-A5AE-8875D733F565}" name="Move4" dataDxfId="421">
      <calculatedColumnFormula>_xlfn.XLOOKUP($A10,TeamData[Pokemon],TeamData[Move4])</calculatedColumnFormula>
    </tableColumn>
    <tableColumn id="20" xr3:uid="{F065330B-7E07-4FB5-A647-983F924FD907}" name="Move4Type" dataDxfId="420">
      <calculatedColumnFormula>_xlfn.XLOOKUP($A10,TeamData[Pokemon],TeamData[Move4Type])</calculatedColumnFormula>
    </tableColumn>
    <tableColumn id="21" xr3:uid="{4188BDAB-17EF-433E-A2D1-C48467C86B0D}" name="Move4Power" dataDxfId="419">
      <calculatedColumnFormula>_xlfn.XLOOKUP($A10,TeamData[Pokemon],TeamData[Move4Power])</calculatedColumnFormula>
    </tableColumn>
    <tableColumn id="22" xr3:uid="{DAB0E2A8-A885-4C27-A67F-5B43EFD7782D}" name="Move4Category" dataDxfId="418">
      <calculatedColumnFormula>_xlfn.XLOOKUP($A10,TeamData[Pokemon],TeamData[Move4Category])</calculatedColumnFormula>
    </tableColumn>
    <tableColumn id="23" xr3:uid="{265EA764-F260-4C25-8FC0-4291EC4B3B41}" name="Move4Effectiveness" dataDxfId="417">
      <calculatedColumnFormula>INDEX(TypeChart[],MATCH(AM10,TypeChart[AttackType ↓ / DefendingType →],0),MATCH($N$2,TypeChart[#Headers],0))*IF(OR($O$2="",$O$2=0),1,INDEX(TypeChart[],MATCH(AM10,TypeChart[AttackType ↓ / DefendingType →],0),MATCH($O$2,TypeChart[#Headers],0)))</calculatedColumnFormula>
    </tableColumn>
    <tableColumn id="31" xr3:uid="{8DFECDB2-ACFE-48E3-950F-3905844E29B3}" name="Move4STAB" dataDxfId="416">
      <calculatedColumnFormula>IF(OR(AM10=INDEX(TeamData[Type1],MATCH(A10,TeamData[Pokemon],0)),AM10=INDEX(TeamData[Type2],MATCH(A10,TeamData[Pokemon],0))),$BH10,1)</calculatedColumnFormula>
    </tableColumn>
    <tableColumn id="32" xr3:uid="{A7045888-3F87-4B0D-8651-F56B0FAF04BB}" name="Move4Ratio" dataDxfId="415">
      <calculatedColumnFormula>AP10*AQ10</calculatedColumnFormula>
    </tableColumn>
    <tableColumn id="24" xr3:uid="{0335CBDC-BA20-42E2-869F-8818FCC78076}" name="Move4Score" dataDxfId="414">
      <calculatedColumnFormula array="1">_xlfn.LET(
    _xlpm.dmgMethod, DO10,
    _xlpm.movePower, AN10,
    _xlpm.moveCategory, AO10,
    _xlpm.moveType, AM10,
    _xlpm.moveHits, IFERROR(VLOOKUP(AL10,MoveData[],6,FALSE),1),
    _xlpm.effectiveness, AP10,
    _xlpm.stabMod, AQ10,
    _xlpm.techMod, $BM10,
    _xlpm.outMod, $CG10,
    _xlpm.atkMod, $BI10,
    _xlpm.teamATK, _xlfn.XLOOKUP($A10,TeamData[Pokemon],TeamData[ATK]),
    _xlpm.teamSPA, _xlfn.XLOOKUP($A10,TeamData[Pokemon],TeamData[SPA]),
    _xlpm.teamDEF, _xlfn.XLOOKUP($A10,TeamData[Pokemon],TeamData[DEF]),
    _xlpm.oppATK, $AU10,
    _xlpm.oppDEF, $AV10,
    _xlpm.oppSPD, $AX10,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calculatedColumnFormula>
    </tableColumn>
    <tableColumn id="33" xr3:uid="{ACFE1B6F-6C6A-4975-B1E1-6F01704DD8E6}" name="OpponentLevel" dataDxfId="413">
      <calculatedColumnFormula array="1">IFERROR(INDEX(Opponent[Level],MATCH(1,(Opponent[Trainer]=$B$2)*(Opponent[Battle]=$B$3)*(Opponent[Pokemon]=$B$4),0)),0)</calculatedColumnFormula>
    </tableColumn>
    <tableColumn id="34" xr3:uid="{E8EB8BCC-E5CC-46B5-8DE6-52B8A591B3E1}" name="ApproxATK" dataDxfId="412">
      <calculatedColumnFormula array="1">IFERROR(((2*INDEX(Opponent[ATK],MATCH(1,(Opponent[Trainer]=$B$2)*(Opponent[Battle]=$B$3)*(Opponent[Pokemon]=$B$4),0))+31)*$AT10/100)+5,0)</calculatedColumnFormula>
    </tableColumn>
    <tableColumn id="35" xr3:uid="{176516B6-7177-4D3E-9766-8EC46420A061}" name="ApproxDEF" dataDxfId="411">
      <calculatedColumnFormula array="1">IFERROR(((2*INDEX(Opponent[DEF],MATCH(1,(Opponent[Trainer]=$B$2)*(Opponent[Battle]=$B$3)*(Opponent[Pokemon]=$B$4),0))+31)*$AT10/100)+5,0)</calculatedColumnFormula>
    </tableColumn>
    <tableColumn id="36" xr3:uid="{CBEE3F25-2154-4658-BEF6-19A0636C1C61}" name="ApproxSPA" dataDxfId="410">
      <calculatedColumnFormula array="1">IFERROR(((2*INDEX(Opponent[SPA],MATCH(1,(Opponent[Trainer]=$B$2)*(Opponent[Battle]=$B$3)*(Opponent[Pokemon]=$B$4),0))+31)*$AT10/100)+5,0)</calculatedColumnFormula>
    </tableColumn>
    <tableColumn id="37" xr3:uid="{D13D47A2-A2AF-43EB-AD2D-790EE7E6F7E3}" name="ApproxSPD" dataDxfId="409">
      <calculatedColumnFormula array="1">IFERROR(((2*INDEX(Opponent[SPD],MATCH(1,(Opponent[Trainer]=$B$2)*(Opponent[Battle]=$B$3)*(Opponent[Pokemon]=$B$4),0))+31)*$AT10/100)+5,0)</calculatedColumnFormula>
    </tableColumn>
    <tableColumn id="91" xr3:uid="{2A642CE3-8091-4A28-8805-74E646566239}" name="ApproxSPE" dataDxfId="408">
      <calculatedColumnFormula array="1">IFERROR(((2*INDEX(Opponent[SPE],MATCH(1,(Opponent[Trainer]=$B$2)*(Opponent[Battle]=$B$3)*(Opponent[Pokemon]=$B$4),0))+31)*$AT10/100)+5,0)</calculatedColumnFormula>
    </tableColumn>
    <tableColumn id="92" xr3:uid="{B8667D3D-266B-498C-8C03-A589F287F336}" name="ApproxHP" dataDxfId="407">
      <calculatedColumnFormula array="1">IFERROR(((2*INDEX(Opponent[HP],MATCH(1,(Opponent[Trainer]=$B$2)*(Opponent[Battle]=$B$3)*(Opponent[Pokemon]=$B$4),0))+31)*Table8[[#This Row],[OpponentLevel]]/100)+Table8[[#This Row],[OpponentLevel]]+10,0)</calculatedColumnFormula>
    </tableColumn>
    <tableColumn id="93" xr3:uid="{60D7769E-0D4F-4A94-A706-96549C278C72}" name="BestMoveHPRatio" dataDxfId="406">
      <calculatedColumnFormula>IF(OR(Table8[[#This Row],[ApproxHP]]="",Table8[[#This Row],[ApproxHP]]=0),"",IFERROR(Table8[[#This Row],[BestMoveScoreNumeric]]/Table8[[#This Row],[ApproxHP]],""))</calculatedColumnFormula>
    </tableColumn>
    <tableColumn id="38" xr3:uid="{944D5A45-3551-4EA2-BD2A-E32729799D34}" name="TeamAbility" dataDxfId="405">
      <calculatedColumnFormula>IFERROR(VLOOKUP(A10,TeamData[],30,FALSE),"")</calculatedColumnFormula>
    </tableColumn>
    <tableColumn id="39" xr3:uid="{AF54E76D-7F65-4A2C-845B-CBE28CBB210D}" name="OpponentAbility" dataDxfId="404">
      <calculatedColumnFormula array="1">IFERROR(INDEX(Opponent[Ability],MATCH(1,(Opponent[Pokemon]=$B$4)*(Opponent[Battle]=$B$3)*(Opponent[Trainer]=$B$2),0)),"")</calculatedColumnFormula>
    </tableColumn>
    <tableColumn id="40" xr3:uid="{BA6FF7EF-F859-4EEF-8021-9FD3124AA730}" name="IncomingMod1" dataDxfId="403">
      <calculatedColumnFormula array="1">IF(A10="",1,IF($BB10="",1,IF(SUMPRODUCT((AbilityRules[Ability]=$BB10)*(AbilityRules[Effect]="Immunity")*(AbilityRules[TargetType]=IFERROR(INDEX(Opponent[Move1Type],MATCH(1,(Opponent[Pokemon]=$B$4)*(Opponent[Battle]=$B$3)*(Opponent[Trainer]=$B$2),0)),"")))&gt;0,0,IF(SUMPRODUCT((AbilityRules[Ability]=$BB10)*(AbilityRules[Effect]="Reduction")*(AbilityRules[TargetType]=IFERROR(INDEX(Opponent[Move1Type],MATCH(1,(Opponent[Pokemon]=$B$4)*(Opponent[Battle]=$B$3)*(Opponent[Trainer]=$B$2),0)),"")))&gt;0,0.5,1))))</calculatedColumnFormula>
    </tableColumn>
    <tableColumn id="41" xr3:uid="{182F4D2C-FE9B-4831-8FD2-6006A010AC5F}" name="IncomingMod2" dataDxfId="402">
      <calculatedColumnFormula array="1">IF(A10="",1,IF($BB10="",1,IF(SUMPRODUCT((AbilityRules[Ability]=$BB10)*(AbilityRules[Effect]="Immunity")*(AbilityRules[TargetType]=IFERROR(INDEX(Opponent[Move2Type],MATCH(1,(Opponent[Pokemon]=$B$4)*(Opponent[Battle]=$B$3)*(Opponent[Trainer]=$B$2),0)),"")))&gt;0,0,IF(SUMPRODUCT((AbilityRules[Ability]=$BB10)*(AbilityRules[Effect]="Reduction")*(AbilityRules[TargetType]=IFERROR(INDEX(Opponent[Move2Type],MATCH(1,(Opponent[Pokemon]=$B$4)*(Opponent[Battle]=$B$3)*(Opponent[Trainer]=$B$2),0)),"")))&gt;0,0.5,1))))</calculatedColumnFormula>
    </tableColumn>
    <tableColumn id="42" xr3:uid="{EC1237A2-92D1-453B-A6CB-6B7E6A28B2D2}" name="IncomingMod3" dataDxfId="401">
      <calculatedColumnFormula array="1">IF(A10="",1,IF($BB10="",1,IF(SUMPRODUCT((AbilityRules[Ability]=$BB10)*(AbilityRules[Effect]="Immunity")*(AbilityRules[TargetType]=IFERROR(INDEX(Opponent[Move3Type],MATCH(1,(Opponent[Pokemon]=$B$4)*(Opponent[Battle]=$B$3)*(Opponent[Trainer]=$B$2),0)),"")))&gt;0,0,IF(SUMPRODUCT((AbilityRules[Ability]=$BB10)*(AbilityRules[Effect]="Reduction")*(AbilityRules[TargetType]=IFERROR(INDEX(Opponent[Move3Type],MATCH(1,(Opponent[Pokemon]=$B$4)*(Opponent[Battle]=$B$3)*(Opponent[Trainer]=$B$2),0)),"")))&gt;0,0.5,1))))</calculatedColumnFormula>
    </tableColumn>
    <tableColumn id="43" xr3:uid="{3D148C12-C962-4FAD-92F6-75877620045E}" name="IncomingMod4" dataDxfId="400">
      <calculatedColumnFormula array="1">IF(A10="",1,IF($BB10="",1,IF(SUMPRODUCT((AbilityRules[Ability]=$BB10)*(AbilityRules[Effect]="Immunity")*(AbilityRules[TargetType]=IFERROR(INDEX(Opponent[Move4Type],MATCH(1,(Opponent[Pokemon]=$B$4)*(Opponent[Battle]=$B$3)*(Opponent[Trainer]=$B$2),0)),"")))&gt;0,0,IF(SUMPRODUCT((AbilityRules[Ability]=$BB10)*(AbilityRules[Effect]="Reduction")*(AbilityRules[TargetType]=IFERROR(INDEX(Opponent[Move4Type],MATCH(1,(Opponent[Pokemon]=$B$4)*(Opponent[Battle]=$B$3)*(Opponent[Trainer]=$B$2),0)),"")))&gt;0,0.5,1))))</calculatedColumnFormula>
    </tableColumn>
    <tableColumn id="44" xr3:uid="{8D8DBAB2-E56A-45CD-93B2-7BD55B9ABFCA}" name="OutgoingSTABMod" dataDxfId="399">
      <calculatedColumnFormula>IF(A10="",1.5,IF($BB10="Adaptability",2,1.5))</calculatedColumnFormula>
    </tableColumn>
    <tableColumn id="45" xr3:uid="{7C1314EB-F7E9-47C7-91C6-E65BD3D3362B}" name="OutgoingAtkMod" dataDxfId="398">
      <calculatedColumnFormula>IF(A10="",1,IF(OR($BB10="Huge Power",$BB10="Pure Power"),2,1))</calculatedColumnFormula>
    </tableColumn>
    <tableColumn id="46" xr3:uid="{C51293DD-C9EE-4357-95FC-8377104B3A7D}" name="TechMod1" dataDxfId="397">
      <calculatedColumnFormula>IF(A10="",1,IF(AND($BB10="Technician",IFERROR(INDEX(TeamData[Move1Power],MATCH(A10,TeamData[Pokemon],0)),0)&lt;=60,IFERROR(INDEX(TeamData[Move1Power],MATCH(A10,TeamData[Pokemon],0)),0)&gt;0),1.5,1))</calculatedColumnFormula>
    </tableColumn>
    <tableColumn id="47" xr3:uid="{A30BBE18-AF64-4A8F-B97A-CF6B887CB747}" name="TechMod2" dataDxfId="396">
      <calculatedColumnFormula>IF(A10="",1,IF(AND($BB10="Technician",IFERROR(INDEX(TeamData[Move2Power],MATCH(A10,TeamData[Pokemon],0)),0)&lt;=60,IFERROR(INDEX(TeamData[Move2Power],MATCH(A10,TeamData[Pokemon],0)),0)&gt;0),1.5,1))</calculatedColumnFormula>
    </tableColumn>
    <tableColumn id="48" xr3:uid="{8265C27B-24DE-4C8B-9D57-19E7CB7AB269}" name="TechMod3" dataDxfId="395">
      <calculatedColumnFormula>IF(A10="",1,IF(AND($BB10="Technician",IFERROR(INDEX(TeamData[Move3Power],MATCH(A10,TeamData[Pokemon],0)),0)&lt;=60,IFERROR(INDEX(TeamData[Move3Power],MATCH(A10,TeamData[Pokemon],0)),0)&gt;0),1.5,1))</calculatedColumnFormula>
    </tableColumn>
    <tableColumn id="49" xr3:uid="{A383BA20-DBF4-44B3-9DC3-A0319CF0BBA7}" name="TechMod4" dataDxfId="394">
      <calculatedColumnFormula>IF(A10="",1,IF(AND($BB10="Technician",IFERROR(INDEX(TeamData[Move4Power],MATCH(A10,TeamData[Pokemon],0)),0)&lt;=60,IFERROR(INDEX(TeamData[Move4Power],MATCH(A10,TeamData[Pokemon],0)),0)&gt;0),1.5,1))</calculatedColumnFormula>
    </tableColumn>
    <tableColumn id="50" xr3:uid="{394F0AD2-8A4F-4070-AD2D-A9869ACB12E5}" name="Move1Type2" dataDxfId="393">
      <calculatedColumnFormula array="1">IFERROR(INDEX(Opponent[Move1Type],MATCH(1,(Opponent[Pokemon]=$B$4)*(Opponent[Battle]=$B$3)*(Opponent[Trainer]=$B$2),0)),"")</calculatedColumnFormula>
    </tableColumn>
    <tableColumn id="51" xr3:uid="{80769D4C-DF71-480B-9C29-104BDD136287}" name="Move2Type3" dataDxfId="392">
      <calculatedColumnFormula array="1">IFERROR(INDEX(Opponent[Move2Type],MATCH(1,(Opponent[Pokemon]=$B$4)*(Opponent[Battle]=$B$3)*(Opponent[Trainer]=$B$2),0)),"")</calculatedColumnFormula>
    </tableColumn>
    <tableColumn id="52" xr3:uid="{590D424E-7AB5-496F-8314-46E0995371F9}" name="Move3Type4" dataDxfId="391">
      <calculatedColumnFormula array="1">IFERROR(INDEX(Opponent[Move3Type],MATCH(1,(Opponent[Pokemon]=$B$4)*(Opponent[Battle]=$B$3)*(Opponent[Trainer]=$B$2),0)),"")</calculatedColumnFormula>
    </tableColumn>
    <tableColumn id="53" xr3:uid="{C0BCAFF2-CAA7-4F6A-911D-72FD44FC8D91}" name="Move4Type5" dataDxfId="390">
      <calculatedColumnFormula array="1">IFERROR(INDEX(Opponent[Move4Type],MATCH(1,(Opponent[Pokemon]=$B$4)*(Opponent[Battle]=$B$3)*(Opponent[Trainer]=$B$2),0)),"")</calculatedColumnFormula>
    </tableColumn>
    <tableColumn id="54" xr3:uid="{8B482EFE-03D1-49C5-97E0-F58C8F63EA68}" name="Move1Eff" dataDxfId="389">
      <calculatedColumnFormula>IF(OR(A10="",BN10=""),0,IFERROR(VLOOKUP(BN10,TypeChart[],MATCH(VLOOKUP(A10,TeamData[],2,FALSE),TypeChart[#Headers],0),FALSE)*IF(VLOOKUP(A10,TeamData[],3,FALSE)="",1,VLOOKUP(BN10,TypeChart[],MATCH(VLOOKUP(A10,TeamData[],3,FALSE),TypeChart[#Headers],0),FALSE)),0))</calculatedColumnFormula>
    </tableColumn>
    <tableColumn id="55" xr3:uid="{551D196C-DA2E-4E2B-A672-E07805AA7533}" name="Move2Eff" dataDxfId="388">
      <calculatedColumnFormula>IF(OR(A10="",BO10=""),0,IFERROR(VLOOKUP(BO10,TypeChart[],MATCH(VLOOKUP(A10,TeamData[],2,FALSE),TypeChart[#Headers],0),FALSE)*IF(VLOOKUP(A10,TeamData[],3,FALSE)="",1,VLOOKUP(BO10,TypeChart[],MATCH(VLOOKUP(A10,TeamData[],3,FALSE),TypeChart[#Headers],0),FALSE)),0))</calculatedColumnFormula>
    </tableColumn>
    <tableColumn id="56" xr3:uid="{B11FCC1D-D174-443C-AE65-CCFEFE132026}" name="Move3Eff" dataDxfId="387">
      <calculatedColumnFormula>IF(OR(A10="",BP10=""),0,IFERROR(VLOOKUP(BP10,TypeChart[],MATCH(VLOOKUP(A10,TeamData[],2,FALSE),TypeChart[#Headers],0),FALSE)*IF(VLOOKUP(A10,TeamData[],3,FALSE)="",1,VLOOKUP(BP10,TypeChart[],MATCH(VLOOKUP(A10,TeamData[],3,FALSE),TypeChart[#Headers],0),FALSE)),0))</calculatedColumnFormula>
    </tableColumn>
    <tableColumn id="57" xr3:uid="{3D0EE6DC-B75E-4817-8FE8-C0FAFDE5DBBA}" name="Move4Eff" dataDxfId="386">
      <calculatedColumnFormula>IF(OR(A10="",BQ10=""),0,IFERROR(VLOOKUP(BQ10,TypeChart[],MATCH(VLOOKUP(A10,TeamData[],2,FALSE),TypeChart[#Headers],0),FALSE)*IF(VLOOKUP(A10,TeamData[],3,FALSE)="",1,VLOOKUP(BQ10,TypeChart[],MATCH(VLOOKUP(A10,TeamData[],3,FALSE),TypeChart[#Headers],0),FALSE)),0))</calculatedColumnFormula>
    </tableColumn>
    <tableColumn id="58" xr3:uid="{D212A668-FD44-4E36-9BB4-28512C8BB2CC}" name="Move1SuperEff" dataDxfId="385">
      <calculatedColumnFormula>IF(BR10&gt;1,1,0)</calculatedColumnFormula>
    </tableColumn>
    <tableColumn id="59" xr3:uid="{59F42560-1264-46F3-ACF1-AEB146DE335A}" name="Move2SuperEff" dataDxfId="384">
      <calculatedColumnFormula>IF(BS10&gt;1,1,0)</calculatedColumnFormula>
    </tableColumn>
    <tableColumn id="60" xr3:uid="{0AA0E6F3-D7CF-4B6E-BD03-613B55AFE9C5}" name="Move3SuperEff" dataDxfId="383">
      <calculatedColumnFormula>IF(BT10&gt;1,1,0)</calculatedColumnFormula>
    </tableColumn>
    <tableColumn id="61" xr3:uid="{F6C3920A-0DB2-4E1C-A4F1-70A6B611112D}" name="Move4SuperEff" dataDxfId="382">
      <calculatedColumnFormula>IF(BU10&gt;1,1,0)</calculatedColumnFormula>
    </tableColumn>
    <tableColumn id="62" xr3:uid="{7D966C77-FDBE-4423-A667-BBE7A6C6E46C}" name="IncomingMod1Final" dataDxfId="381">
      <calculatedColumnFormula>BD10*IF(AND(BV10=1,OR(BB10="Filter",BB10="Solid Rock",BB10="Prism Armor")),0.75,1)</calculatedColumnFormula>
    </tableColumn>
    <tableColumn id="63" xr3:uid="{E6640D19-A1F8-486E-8279-1ACDB6F26836}" name="IncomingMod2Final" dataDxfId="380">
      <calculatedColumnFormula>BE10*IF(AND(BW10=1,OR(BB10="Filter",BB10="Solid Rock",BB10="Prism Armor")),0.75,1)</calculatedColumnFormula>
    </tableColumn>
    <tableColumn id="64" xr3:uid="{5CA039B9-4C46-4AFA-89FE-95673ED3E6A9}" name="IncomingMod3Final" dataDxfId="379">
      <calculatedColumnFormula>BF10*IF(AND(BX10=1,OR(BB10="Filter",BB10="Solid Rock",BB10="Prism Armor")),0.75,1)</calculatedColumnFormula>
    </tableColumn>
    <tableColumn id="65" xr3:uid="{65D663F4-F772-44E5-89CD-397C21FF22D9}" name="IncomingMod4Final" dataDxfId="378">
      <calculatedColumnFormula>BG10*IF(AND(BY10=1,OR(BB10="Filter",BB10="Solid Rock",BB10="Prism Armor")),0.75,1)</calculatedColumnFormula>
    </tableColumn>
    <tableColumn id="66" xr3:uid="{49AFDF01-E5B0-40D6-B196-E93C33A8C9FA}" name="OutMod1" dataDxfId="377">
      <calculatedColumnFormula>IFERROR(IF(OR(AND($BC10="Levitate",O10="Ground"),AND($BC10="Flash Fire",O10="Fire"),AND($BC10="Water Absorb",O10="Water"),AND($BC10="Volt Absorb",O10="Electric"),AND($BC10="Lightning Rod",O10="Electric"),AND($BC10="Motor Drive",O10="Electric"),AND($BC10="Storm Drain",O10="Water"),AND($BC10="Sap Sipper",O10="Grass"),AND($BC10="Dry Skin",O10="Water")),0,1),1)</calculatedColumnFormula>
    </tableColumn>
    <tableColumn id="67" xr3:uid="{A336B2A4-C5D1-41A8-A3C1-349AFADAAF5B}" name="OutMod2" dataDxfId="376">
      <calculatedColumnFormula>IFERROR(IF(OR(AND($BC10="Levitate",W10="Ground"),AND($BC10="Flash Fire",W10="Fire"),AND($BC10="Water Absorb",W10="Water"),AND($BC10="Volt Absorb",W10="Electric"),AND($BC10="Lightning Rod",W10="Electric"),AND($BC10="Motor Drive",W10="Electric"),AND($BC10="Storm Drain",W10="Water"),AND($BC10="Sap Sipper",W10="Grass"),AND($BC10="Dry Skin",W10="Water")),0,1),1)</calculatedColumnFormula>
    </tableColumn>
    <tableColumn id="68" xr3:uid="{A1485054-EDE6-4A84-AE29-37F168619D2C}" name="OutMod3" dataDxfId="375">
      <calculatedColumnFormula>IFERROR(IF(OR(AND($BC10="Levitate",AE10="Ground"),AND($BC10="Flash Fire",AE10="Fire"),AND($BC10="Water Absorb",AE10="Water"),AND($BC10="Volt Absorb",AE10="Electric"),AND($BC10="Lightning Rod",AE10="Electric"),AND($BC10="Motor Drive",AE10="Electric"),AND($BC10="Storm Drain",AE10="Water"),AND($BC10="Sap Sipper",AE10="Grass"),AND($BC10="Dry Skin",AE10="Water")),0,1),1)</calculatedColumnFormula>
    </tableColumn>
    <tableColumn id="69" xr3:uid="{1AEF01FC-A28C-41D3-BACF-DDEDA4C9127D}" name="OutMod4" dataDxfId="374">
      <calculatedColumnFormula>IFERROR(IF(OR(AND($BC10="Levitate",AM10="Ground"),AND($BC10="Flash Fire",AM10="Fire"),AND($BC10="Water Absorb",AM10="Water"),AND($BC10="Volt Absorb",AM10="Electric"),AND($BC10="Lightning Rod",AM10="Electric"),AND($BC10="Motor Drive",AM10="Electric"),AND($BC10="Storm Drain",AM10="Water"),AND($BC10="Sap Sipper",AM10="Grass"),AND($BC10="Dry Skin",AM10="Water")),0,1),1)</calculatedColumnFormula>
    </tableColumn>
    <tableColumn id="70" xr3:uid="{F454354E-0210-41FE-A5F3-7DAF0E38A8E4}" name="HasAbilityImmunity" dataDxfId="373">
      <calculatedColumnFormula>IF(A10="",0,IF(OR(BZ10=0,CA10=0,CB10=0,CC10=0),1,0))</calculatedColumnFormula>
    </tableColumn>
    <tableColumn id="71" xr3:uid="{69C0A9D8-7344-481E-B7FC-E857B24672D0}" name="HasTypeImmunity" dataDxfId="372">
      <calculatedColumnFormula>IF(A10="","",CU10)</calculatedColumnFormula>
    </tableColumn>
    <tableColumn id="72" xr3:uid="{BC10571D-092F-4D14-93C6-3F6471EA36AC}" name="HasLowIncoming" dataDxfId="371">
      <calculatedColumnFormula>IF(A10="",0,IF(F10&lt;MAX($F$10:$F$15)*0.5,1,0))</calculatedColumnFormula>
    </tableColumn>
    <tableColumn id="73" xr3:uid="{E6E0E5AF-22EB-4568-B053-8D7995570116}" name="HasHighOffense" dataDxfId="370">
      <calculatedColumnFormula>IF(A10="",0,IF(E10&gt;AVERAGEIF($A$10:$A$15,"&lt;&gt;",$E$10:$E$15)*1.5,1,0))</calculatedColumnFormula>
    </tableColumn>
    <tableColumn id="74" xr3:uid="{025F4515-49A8-4D14-A7E0-25462C477ABE}" name="WhyCode" dataDxfId="369">
      <calculatedColumnFormula>IF(A10="","",IF(AND(CR10=1,G10=CS10,CQ10=1),0,IF(CH10=1,1,IF(AND(CI10=1,OR(BR10=0,BS10=0,BT10=0,BU10=0),F10=MIN($F$10:$F$15)),2,IF(AND(CM10&gt;1.3,CN10&gt;1.3),3,IF(AND(CM10&gt;=CN10*0.9,CM10&gt;1.2),4,IF(AND(CN10&gt;CM10*1.1,CN10&gt;1.2),5,IF(G10&gt;=0.8,6,7))))))))</calculatedColumnFormula>
    </tableColumn>
    <tableColumn id="75" xr3:uid="{1FCEF48C-2ED1-4D15-A29B-C19322C4AE85}" name="OffAdvRatio" dataDxfId="368">
      <calculatedColumnFormula>IF(OR(A10="", FU10=""), "", FU10 / IF(LARGE($FU$10:$FU$15, 2) = 0, 1, LARGE($FU$10:$FU$15, 2)))</calculatedColumnFormula>
    </tableColumn>
    <tableColumn id="76" xr3:uid="{454BF172-C6F0-4A6F-8440-213367E9451D}" name="DefAdvRatio" dataDxfId="367">
      <calculatedColumnFormula array="1">IF(OR(A10="", FV10="", FV10=0), "", SMALL(IF($A$10:$A$15&lt;&gt;"", $FV$10:$FV$15), 2) / FV10)</calculatedColumnFormula>
    </tableColumn>
    <tableColumn id="77" xr3:uid="{CEC5091B-2ED8-487E-A75C-6223B3AA41FC}" name="BestMoveSuperEff" dataDxfId="366">
      <calculatedColumnFormula>IF(OR(A10="",C10=""),0,IF(OR(IFERROR(VLOOKUP(C10,TypeChart[],MATCH($N$2,TypeChart[#Headers],0),FALSE),1)&gt;1,IF($O$2="",FALSE,IFERROR(VLOOKUP(C10,TypeChart[],MATCH($O$2,TypeChart[#Headers],0),FALSE),1)&gt;1)),1,0))</calculatedColumnFormula>
    </tableColumn>
    <tableColumn id="78" xr3:uid="{62BCB069-B746-4C2B-BC40-8EA59258E7B0}" name="HasSTABSuperEff" dataDxfId="365">
      <calculatedColumnFormula>IF(A10="","",IF(AND(CO10=1,OR(C10=INDEX(TeamData[Type1],MATCH(A10,TeamData[Pokemon],0)),C10=INDEX(TeamData[Type2],MATCH(A10,TeamData[Pokemon],0)))),1,0))</calculatedColumnFormula>
    </tableColumn>
    <tableColumn id="79" xr3:uid="{42B6B738-A50F-4D9B-AB7A-AFE64DC3F82F}" name="HasOverwhelmingOffense" dataDxfId="364">
      <calculatedColumnFormula>IF(A10="","",IF(AND(E10&gt;300,G10&gt;10),1,0))</calculatedColumnFormula>
    </tableColumn>
    <tableColumn id="80" xr3:uid="{5DDC57F1-A39C-4D4B-A4FC-9B92E8C8CA45}" name="AnyOverwhelming" dataDxfId="363">
      <calculatedColumnFormula>IF(SUM($CQ$10:$CQ$15)&gt;0,1,0)</calculatedColumnFormula>
    </tableColumn>
    <tableColumn id="81" xr3:uid="{870DFB24-EEDB-4F8A-8C75-F64CBEAD9881}" name="BestOverwhelmingRatio" dataDxfId="362">
      <calculatedColumnFormula>IF(SUM($CQ$10:$CQ$15)=0,"",_xlfn.MAXIFS($G$10:$G$15,$CQ$10:$CQ$15,1))</calculatedColumnFormula>
    </tableColumn>
    <tableColumn id="82" xr3:uid="{6B19755C-C77A-4B51-987C-C136FBCFF547}" name="ImmuneToType" dataDxfId="361">
      <calculatedColumnFormula>IF(A10="","",CV10)</calculatedColumnFormula>
    </tableColumn>
    <tableColumn id="83" xr3:uid="{477D662C-F014-4BDE-9DFC-BCF5832D384A}" name="ImmunityHelps" dataDxfId="360">
      <calculatedColumnFormula array="1">IF(A10="","",
        IF(OR(
            AND(OR(BR10=0,BD10=0),IFERROR(INDEX(Opponent[Move1Power],MATCH(1,(Opponent[Pokemon]=$B$4)*(Opponent[Battle]=$B$3)*(Opponent[Trainer]=$B$2),0))*1,0)&gt;=CX10,IFERROR(INDEX(Opponent[Move1Power],MATCH(1,(Opponent[Pokemon]=$B$4)*(Opponent[Battle]=$B$3)*(Opponent[Trainer]=$B$2),0))*1,0)&gt;0),
            AND(OR(BS10=0,BE10=0),IFERROR(INDEX(Opponent[Move2Power],MATCH(1,(Opponent[Pokemon]=$B$4)*(Opponent[Battle]=$B$3)*(Opponent[Trainer]=$B$2),0))*1,0)&gt;=CX10,IFERROR(INDEX(Opponent[Move2Power],MATCH(1,(Opponent[Pokemon]=$B$4)*(Opponent[Battle]=$B$3)*(Opponent[Trainer]=$B$2),0))*1,0)&gt;0),
            AND(OR(BT10=0,BF10=0),IFERROR(INDEX(Opponent[Move3Power],MATCH(1,(Opponent[Pokemon]=$B$4)*(Opponent[Battle]=$B$3)*(Opponent[Trainer]=$B$2),0))*1,0)&gt;=CX10,IFERROR(INDEX(Opponent[Move3Power],MATCH(1,(Opponent[Pokemon]=$B$4)*(Opponent[Battle]=$B$3)*(Opponent[Trainer]=$B$2),0))*1,0)&gt;0),
            AND(OR(BU10=0,BG10=0),IFERROR(INDEX(Opponent[Move4Power],MATCH(1,(Opponent[Pokemon]=$B$4)*(Opponent[Battle]=$B$3)*(Opponent[Trainer]=$B$2),0))*1,0)&gt;=CX10,IFERROR(INDEX(Opponent[Move4Power],MATCH(1,(Opponent[Pokemon]=$B$4)*(Opponent[Battle]=$B$3)*(Opponent[Trainer]=$B$2),0))*1,0)&gt;0)
        ),1,0))</calculatedColumnFormula>
    </tableColumn>
    <tableColumn id="84" xr3:uid="{AAB7C420-106B-434C-BC0A-48EBD01C3EF3}" name="ImmuneMoveType" dataDxfId="359">
      <calculatedColumnFormula array="1">IF(CU10=0,"",
        IF(AND(OR(BR10=0,BD10=0),IFERROR(INDEX(Opponent[Move1Power],MATCH(1,(Opponent[Pokemon]=$B$4)*(Opponent[Battle]=$B$3)*(Opponent[Trainer]=$B$2),0))*1,0)&gt;0),BN10,
        IF(AND(OR(BS10=0,BE10=0),IFERROR(INDEX(Opponent[Move2Power],MATCH(1,(Opponent[Pokemon]=$B$4)*(Opponent[Battle]=$B$3)*(Opponent[Trainer]=$B$2),0))*1,0)&gt;0),BO10,
        IF(AND(OR(BT10=0,BF10=0),IFERROR(INDEX(Opponent[Move3Power],MATCH(1,(Opponent[Pokemon]=$B$4)*(Opponent[Battle]=$B$3)*(Opponent[Trainer]=$B$2),0))*1,0)&gt;0),BP10,
        IF(AND(OR(BU10=0,BG10=0),IFERROR(INDEX(Opponent[Move4Power],MATCH(1,(Opponent[Pokemon]=$B$4)*(Opponent[Battle]=$B$3)*(Opponent[Trainer]=$B$2),0))*1,0)&gt;0),BQ10,"")))))</calculatedColumnFormula>
    </tableColumn>
    <tableColumn id="85" xr3:uid="{6C30A349-2624-424B-8063-5F7C8688343E}" name="Column1" dataDxfId="358">
      <calculatedColumnFormula>RANK(F10,$F$10:$F$15,1)</calculatedColumnFormula>
    </tableColumn>
    <tableColumn id="86" xr3:uid="{F596B301-ED40-4651-A207-F1118D180E20}" name="Column2" dataDxfId="357">
      <calculatedColumnFormula>IF(A10="","",
            VALUE(IFERROR(VLOOKUP(LEFT(H10,FIND(" (",H10)-1),MoveData[],2,FALSE),0)))</calculatedColumnFormula>
    </tableColumn>
    <tableColumn id="87" xr3:uid="{3FA6406C-AB81-4AB7-80EB-B6F496CB7DE7}" name="Column3" dataDxfId="356">
      <calculatedColumnFormula array="1">INDEX(Opponent[Move3Power],MATCH(1,(Opponent[Pokemon]=$B$4)*(Opponent[Battle]=$B$3)*(Opponent[Trainer]=$B$2),0))</calculatedColumnFormula>
    </tableColumn>
    <tableColumn id="88" xr3:uid="{C7815185-C04A-407C-BF9E-5F906677B035}" name="Column4" dataDxfId="355">
      <calculatedColumnFormula array="1">AND(BT10=0,IFERROR(INDEX(Opponent[Move3Power],MATCH(1,(Opponent[Pokemon]=$B$4)*(Opponent[Battle]=$B$3)*(Opponent[Trainer]=$B$2),0)),0)&gt;=CX10,IFERROR(INDEX(Opponent[Move3Power],MATCH(1,(Opponent[Pokemon]=$B$4)*(Opponent[Battle]=$B$3)*(Opponent[Trainer]=$B$2),0)),0)&gt;0)</calculatedColumnFormula>
    </tableColumn>
    <tableColumn id="89" xr3:uid="{141B7309-C44E-4DA8-A121-D1654A6DF430}" name="Column5" dataDxfId="354">
      <calculatedColumnFormula>80&gt;=CX10</calculatedColumnFormula>
    </tableColumn>
    <tableColumn id="90" xr3:uid="{4C4EECF4-DFAD-4F7F-8CA4-868EE0EDF8AD}" name="Column6" dataDxfId="353">
      <calculatedColumnFormula>ISNUMBER(CX10)</calculatedColumnFormula>
    </tableColumn>
    <tableColumn id="94" xr3:uid="{279C264E-B6CA-4879-A0E0-783C962D00D4}" name="TeamMovesSecond" dataDxfId="352">
      <calculatedColumnFormula>INDEX(TeamData[SPE],MATCH(Calculator[[#This Row],[Team Member]],TeamData[Pokemon],0))&lt;Table8[[#This Row],[ApproxSPE]]</calculatedColumnFormula>
    </tableColumn>
    <tableColumn id="95" xr3:uid="{06351915-CF93-4604-BF09-C985B5257243}" name="IncomingHPRatio" dataDxfId="351">
      <calculatedColumnFormula>_xlfn.LET(
        _xlpm.teamHP, INDEX(TeamData[HP], MATCH(Calculator[[#This Row],[Team Member]], TeamData[Pokemon], 0)),
        _xlpm.incomingScore, Table8[[#This Row],[IncomingWorstScoreNumeric]],
        IF(OR(_xlpm.teamHP="", _xlpm.teamHP=0), "", IFERROR(_xlpm.incomingScore/_xlpm.teamHP, ""))
    )</calculatedColumnFormula>
    </tableColumn>
    <tableColumn id="96" xr3:uid="{F2E8F841-59FB-47F9-B4C4-21A3BC197263}" name="LikelySurvivesFirstHit" dataDxfId="350">
      <calculatedColumnFormula>_xlfn.LET(
        _xlpm.teamSPE, INDEX(TeamData[SPE], MATCH(Calculator[[#This Row],[Team Member]], TeamData[Pokemon], 0)),
        _xlpm.opponentSPE, Table8[[#This Row],[ApproxSPE]],
        _xlpm.teamSPE &lt; _xlpm.opponentSPE
    )</calculatedColumnFormula>
    </tableColumn>
    <tableColumn id="97" xr3:uid="{CAF27DA6-4B6E-4707-9C9A-60B04FA5166A}" name="SurvivalOHKO" dataDxfId="349">
      <calculatedColumnFormula array="1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_xlpm.isDmax, OR(_xlpm.hasGMax, _xlpm.hasMax),
        _xlpm.offensiveThreshold, IF(_xlpm.isDmax, 2, 1),
        _xlpm.meetsOffensiveOHKO, Table8[[#This Row],[BestMoveHPRatio]]&gt;=_xlpm.offensiveThreshold,
        AND(Table8[[#This Row],[TeamMovesSecond]], _xlpm.meetsOffensiveOHKO, Table8[[#This Row],[LikelySurvivesFirstHit]])
    )</calculatedColumnFormula>
    </tableColumn>
    <tableColumn id="98" xr3:uid="{4EA03682-8751-4AAC-9E2D-A75AB7B6386B}" name="DmaxNote" dataDxfId="348">
      <calculatedColumnFormula array="1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IF(_xlpm.hasGMax, "G-Max", IF(_xlpm.hasMax, "Dmax", ""))
    )</calculatedColumnFormula>
    </tableColumn>
    <tableColumn id="99" xr3:uid="{A50F2358-4F69-4A84-B20E-C90D096BFB5E}" name="OHKONote" dataDxfId="1">
      <calculatedColumnFormula>IF(Calculator[[#This Row],[Team Member]]="","",_xlfn.LET(
        _xlpm.opponentSPE, Table8[[#This Row],[ApproxSPE]],
        _xlpm.teamSPE, INDEX(TeamData[SPE], MATCH(Calculator[[#This Row],[Team Member]], TeamData[Pokemon], 0)),
        _xlpm.isFaster, _xlpm.teamSPE&gt;_xlpm.opponentSPE,
        _xlpm.hpRatio, Table8[[#This Row],[BestMoveHPRatio]],
        _xlpm.teamMovesSecond, Table8[[#This Row],[TeamMovesSecond]],
        _xlpm.likelySurvives, Table8[[#This Row],[LikelySurvivesFirstHit]],
        _xlpm.incomingScore, Table8[[#This Row],[IncomingWorstScoreNumeric]],
        _xlpm.hasIncomingDamage, _xlpm.incomingScore&gt;0,
        _xlpm.isDmax, Table8[[#This Row],[DmaxNote]]&lt;&gt;"",
        _xlpm.likelyThreshold, IF(_xlpm.isDmax, 6.5, 3),
        _xlpm.possibleThreshold, IF(_xlpm.isDmax, 4.5, 2),
        _xlpm.meetsLikelyOHKO, _xlpm.hpRatio&gt;=_xlpm.likelyThreshold,
        _xlpm.meetsPossibleOHKO, _xlpm.hpRatio&gt;=_xlpm.possibleThreshold,
        IF(AND(_xlpm.teamMovesSecond, _xlpm.hasIncomingDamage, _xlpm.likelySurvives, _xlpm.meetsLikelyOHKO), "Likely Survival OHKO",
        IF(AND(_xlpm.teamMovesSecond, _xlpm.hasIncomingDamage, _xlpm.likelySurvives, _xlpm.meetsPossibleOHKO), "Possible Survival OHKO",
        IF(OR(_xlpm.isFaster, NOT(_xlpm.hasIncomingDamage)),
            IF(_xlpm.meetsLikelyOHKO, "Likely OHKO",
            IF(_xlpm.meetsPossibleOHKO, "Possible OHKO", "")),
            ""
        )))
    ))</calculatedColumnFormula>
    </tableColumn>
    <tableColumn id="100" xr3:uid="{1CCFD552-9484-4C8B-A0F8-8248ED373741}" name="WarningNote" dataDxfId="347">
      <calculatedColumnFormula>""</calculatedColumnFormula>
    </tableColumn>
    <tableColumn id="101" xr3:uid="{2211823F-6BEA-45BE-84A4-2E393B95048E}" name="MechanicsNote" dataDxfId="346">
      <calculatedColumnFormula>""</calculatedColumnFormula>
    </tableColumn>
    <tableColumn id="102" xr3:uid="{D3DD2C8E-125F-43F1-8D98-1F48AD11D5C9}" name="Move1DmgMethod" dataDxfId="345"/>
    <tableColumn id="103" xr3:uid="{3976AEB5-FAD6-495D-82BF-9F9DB57606B0}" name="Move2DmgMethod" dataDxfId="344">
      <calculatedColumnFormula>IFERROR(VLOOKUP(N10,MoveData[],9,FALSE),"")</calculatedColumnFormula>
    </tableColumn>
    <tableColumn id="104" xr3:uid="{378ADC94-2A04-4CB4-81FD-65330EB2DD8A}" name="Move3DmgMethod" dataDxfId="343">
      <calculatedColumnFormula>IFERROR(VLOOKUP(V10,MoveData[],9,FALSE),"")</calculatedColumnFormula>
    </tableColumn>
    <tableColumn id="105" xr3:uid="{5AF38D86-4E09-4899-9BAF-2E638D195FC0}" name="Move4DmgMethod" dataDxfId="342">
      <calculatedColumnFormula>IFERROR(VLOOKUP(AD10,MoveData[],9,FALSE),"")</calculatedColumnFormula>
    </tableColumn>
    <tableColumn id="106" xr3:uid="{6E970DE5-888E-46C0-AA93-74BD6A736E17}" name="OppMove1DmgMethod" dataDxfId="341">
      <calculatedColumnFormula>IFERROR(VLOOKUP(AL10,MoveData[],9,FALSE),"")</calculatedColumnFormula>
    </tableColumn>
    <tableColumn id="107" xr3:uid="{433799E4-112B-4EBD-896A-6308B38A95DF}" name="OppMove2DmgMethod" dataDxfId="340">
      <calculatedColumnFormula array="1">IFERROR(VLOOKUP(INDEX(Opponent[Move1],MATCH(1,(Opponent[Pokemon]=$B$4)*(Opponent[Battle]=$B$3),0)),MoveData[],9,FALSE),"")</calculatedColumnFormula>
    </tableColumn>
    <tableColumn id="108" xr3:uid="{FCCF1BB8-B836-4611-9F25-89383580BBB5}" name="OppMove3DmgMethod" dataDxfId="339">
      <calculatedColumnFormula array="1">IFERROR(VLOOKUP(INDEX(Opponent[Move2],MATCH(1,(Opponent[Pokemon]=$B$4)*(Opponent[Battle]=$B$3),0)),MoveData[],9,FALSE),"")</calculatedColumnFormula>
    </tableColumn>
    <tableColumn id="109" xr3:uid="{8DB07AE3-2DA5-4994-900B-BD12D69388F5}" name="OppMove4DmgMethod" dataDxfId="338">
      <calculatedColumnFormula array="1">IFERROR(VLOOKUP(INDEX(Opponent[Move3],MATCH(1,(Opponent[Pokemon]=$B$4)*(Opponent[Battle]=$B$3),0)),MoveData[],9,FALSE),"")</calculatedColumnFormula>
    </tableColumn>
    <tableColumn id="110" xr3:uid="{378A7D2F-844B-40B6-8FE2-B36C403DC5C1}" name="Column7" dataDxfId="337">
      <calculatedColumnFormula array="1">IFERROR(VLOOKUP(INDEX(Opponent[Move4],MATCH(1,(Opponent[Pokemon]=$B$4)*(Opponent[Battle]=$B$3),0)),MoveData[],9,FALSE),"")</calculatedColumnFormula>
    </tableColumn>
    <tableColumn id="111" xr3:uid="{517A56D5-5919-47E6-8D02-08791AC93A95}" name="Column8" dataDxfId="336">
      <calculatedColumnFormula>IFERROR(VLOOKUP(Calculator[[#This Row],[Best Move]],MoveData[],8,FALSE),0)</calculatedColumnFormula>
    </tableColumn>
    <tableColumn id="112" xr3:uid="{F93CE6F0-CF23-4F24-B666-4FB26E2BE85B}" name="Column9" dataDxfId="335">
      <calculatedColumnFormula>IF(H10="",0,IFERROR(VLOOKUP(LEFT(H10,FIND(" (",H10)-1),MoveData[],8,FALSE),0))</calculatedColumnFormula>
    </tableColumn>
    <tableColumn id="113" xr3:uid="{585484A1-2EDE-410F-B812-B6DE7DF44237}" name="Column10" dataDxfId="334">
      <calculatedColumnFormula>IF(AND(DT10&gt;0,DU10&gt;0),"Both sides have priority",IF(DT10&gt;0,"Best move has priority",IF(DU10&gt;0,"Opponent has priority","")))</calculatedColumnFormula>
    </tableColumn>
    <tableColumn id="114" xr3:uid="{ED76279D-23BD-42E7-AD38-2EFA9CA1ED54}" name="Column11" dataDxfId="333">
      <calculatedColumnFormula>IF(A10="",FALSE,MAX(BR10:BU10)=0)</calculatedColumnFormula>
    </tableColumn>
    <tableColumn id="115" xr3:uid="{622D4BDE-7BD9-4FFF-BA8C-08A15E3511AE}" name="Column12" dataDxfId="332">
      <calculatedColumnFormula array="1">IFERROR(VALUE(_xlfn.XLOOKUP($B$4&amp;$B$3,Opponent[Pokemon]&amp;Opponent[Battle],Opponent[Move1Power])),0)</calculatedColumnFormula>
    </tableColumn>
    <tableColumn id="116" xr3:uid="{17F8981B-EDC7-4080-9D8A-E2F6B7C41229}" name="Column13" dataDxfId="331">
      <calculatedColumnFormula array="1">IFERROR(VALUE(_xlfn.XLOOKUP($B$4&amp;$B$3,Opponent[Pokemon]&amp;Opponent[Battle],Opponent[Move2Power])),0)</calculatedColumnFormula>
    </tableColumn>
    <tableColumn id="117" xr3:uid="{9322962F-F949-4AA1-8DAB-046128473BF2}" name="Column14" dataDxfId="330">
      <calculatedColumnFormula array="1">IFERROR(VALUE(_xlfn.XLOOKUP($B$4&amp;$B$3,Opponent[Pokemon]&amp;Opponent[Battle],Opponent[Move3Power])),0)</calculatedColumnFormula>
    </tableColumn>
    <tableColumn id="118" xr3:uid="{EB640622-7815-4327-84F0-8158CA6B8009}" name="Column15" dataDxfId="329">
      <calculatedColumnFormula array="1">IFERROR(VALUE(_xlfn.XLOOKUP($B$4&amp;$B$3,Opponent[Pokemon]&amp;Opponent[Battle],Opponent[Move4Power])),0)</calculatedColumnFormula>
    </tableColumn>
    <tableColumn id="119" xr3:uid="{58756D6A-5A77-458D-8F85-BA37218BC5EA}" name="Column16" dataDxfId="328">
      <calculatedColumnFormula>MATCH(MAX(DX10:EA10),DX10:EA10,0)</calculatedColumnFormula>
    </tableColumn>
    <tableColumn id="120" xr3:uid="{BC2C3E29-9095-41C9-859D-7016742961C0}" name="Column17" dataDxfId="327">
      <calculatedColumnFormula array="1">IF(NOT(DW10),"",_xlfn.XLOOKUP($B$4&amp;$B$3,Opponent[Pokemon]&amp;Opponent[Battle],CHOOSE(EB10,Opponent[Move1],Opponent[Move2],Opponent[Move3],Opponent[Move4]))&amp;" ("&amp;_xlfn.XLOOKUP($B$4&amp;$B$3,Opponent[Pokemon]&amp;Opponent[Battle],CHOOSE(EB10,Opponent[Move1Category],Opponent[Move2Category],Opponent[Move3Category],Opponent[Move4Category]))&amp;")")</calculatedColumnFormula>
    </tableColumn>
    <tableColumn id="121" xr3:uid="{4AD49EEE-4A48-41C0-9AF6-012A93A578FD}" name="Column18" dataDxfId="326">
      <calculatedColumnFormula>IF(EC10&lt;&gt;"",EC10,H10)</calculatedColumnFormula>
    </tableColumn>
    <tableColumn id="122" xr3:uid="{EB5B63D1-F71D-4CA9-BDB5-5F681E5165C2}" name="BestMoveCategory" dataDxfId="325">
      <calculatedColumnFormula>IF(A10="","",IF(E10=U10,Q10,IF(E10=AC10,Y10,IF(E10=AK10,AG10,IF(E10=AS10,AO10,"")))))</calculatedColumnFormula>
    </tableColumn>
    <tableColumn id="123" xr3:uid="{93F3AB7B-1795-41E9-9990-D2C856590C22}" name="OppMove1" dataDxfId="324">
      <calculatedColumnFormula array="1">IFERROR(_xlfn.XLOOKUP($B$4&amp;$B$3,Opponent[Pokemon]&amp;Opponent[Battle],Opponent[Move1]),"")</calculatedColumnFormula>
    </tableColumn>
    <tableColumn id="124" xr3:uid="{204EC5A6-FAF7-4C7D-89B5-3C973AE84F1C}" name="OppMove2" dataDxfId="323">
      <calculatedColumnFormula array="1">IFERROR(_xlfn.XLOOKUP($B$4&amp;$B$3,Opponent[Pokemon]&amp;Opponent[Battle],Opponent[Move2]),"")</calculatedColumnFormula>
    </tableColumn>
    <tableColumn id="125" xr3:uid="{03AB3049-0E76-4AF5-94CA-DC37B058ED66}" name="OppMove3" dataDxfId="322">
      <calculatedColumnFormula array="1">IFERROR(_xlfn.XLOOKUP($B$4&amp;$B$3,Opponent[Pokemon]&amp;Opponent[Battle],Opponent[Move3]),"")</calculatedColumnFormula>
    </tableColumn>
    <tableColumn id="126" xr3:uid="{1272B55B-38CC-4B68-B45D-0809D4C49ED4}" name="OppMove4" dataDxfId="321">
      <calculatedColumnFormula array="1">IFERROR(_xlfn.XLOOKUP($B$4&amp;$B$3,Opponent[Pokemon]&amp;Opponent[Battle],Opponent[Move4]),"")</calculatedColumnFormula>
    </tableColumn>
    <tableColumn id="127" xr3:uid="{F4D3CF78-D75F-4BF0-A5D6-48F07CA2EE6C}" name="OppMove1Cond" dataDxfId="320">
      <calculatedColumnFormula>IFERROR(_xlfn.XLOOKUP(EF10,MoveData[Move],MoveData[ActivationCondition]),"Always")</calculatedColumnFormula>
    </tableColumn>
    <tableColumn id="128" xr3:uid="{98DC29F7-5C35-4FCE-AC33-C9AB819078EF}" name="OppMove2Cond" dataDxfId="319">
      <calculatedColumnFormula>IFERROR(_xlfn.XLOOKUP(EG10,MoveData[Move],MoveData[ActivationCondition]),"Always")</calculatedColumnFormula>
    </tableColumn>
    <tableColumn id="129" xr3:uid="{EE50395A-EFCE-4FB3-B02A-DD334C67C09C}" name="OppMove3Cond" dataDxfId="318">
      <calculatedColumnFormula>IFERROR(_xlfn.XLOOKUP(EH10,MoveData[Move],MoveData[ActivationCondition]),"Always")</calculatedColumnFormula>
    </tableColumn>
    <tableColumn id="130" xr3:uid="{F06ACD9C-8A23-4A74-9936-56CA215DA90D}" name="OppMove4Cond" dataDxfId="317">
      <calculatedColumnFormula>IFERROR(_xlfn.XLOOKUP(EI10,MoveData[Move],MoveData[ActivationCondition]),"Always")</calculatedColumnFormula>
    </tableColumn>
    <tableColumn id="131" xr3:uid="{56F9CB8E-DF7F-42BA-9A74-4FB9AFC4345E}" name="Move1Elig" dataDxfId="316">
      <calculatedColumnFormula>IF(EJ10="RequiresTargetPhysicalMove",EE10="Physical",IF(EJ10="RequiresTargetSpecialMove",EE10="Special",IF(EJ10="RequiresTargetDamagingMove",OR(EE10="Physical",EE10="Special"),TRUE)))</calculatedColumnFormula>
    </tableColumn>
    <tableColumn id="132" xr3:uid="{FFF863A2-2E19-40BD-8434-86420175E801}" name="Move2Elig" dataDxfId="315">
      <calculatedColumnFormula>IF(EK10="RequiresTargetPhysicalMove",EE10="Physical",IF(EK10="RequiresTargetSpecialMove",EE10="Special",IF(EK10="RequiresTargetDamagingMove",OR(EE10="Physical",EE10="Special"),TRUE)))</calculatedColumnFormula>
    </tableColumn>
    <tableColumn id="133" xr3:uid="{20739D04-E066-44D3-93FB-63D0B9C19D09}" name="Move3Elig" dataDxfId="314">
      <calculatedColumnFormula>IF(EL10="RequiresTargetPhysicalMove",EE10="Physical",IF(EL10="RequiresTargetSpecialMove",EE10="Special",IF(EL10="RequiresTargetDamagingMove",OR(EE10="Physical",EE10="Special"),TRUE)))</calculatedColumnFormula>
    </tableColumn>
    <tableColumn id="134" xr3:uid="{7CFCB3AB-C0D9-47BF-B3B0-DD34469A06AE}" name="Move4Elig" dataDxfId="313">
      <calculatedColumnFormula>IF(EM10="RequiresTargetPhysicalMove",EE10="Physical",IF(EM10="RequiresTargetSpecialMove",EE10="Special",IF(EM10="RequiresTargetDamagingMove",OR(EE10="Physical",EE10="Special"),TRUE)))</calculatedColumnFormula>
    </tableColumn>
    <tableColumn id="135" xr3:uid="{2F7BE6A7-651B-4CF4-A567-B1F8857549EA}" name="ContactRiskNote" dataDxfId="312">
      <calculatedColumnFormula>IF(A10="","",
        _xlfn.LET(
            _xlpm.bestMove, B10,
            _xlpm.bestMoveContact, IFERROR(_xlfn.XLOOKUP(_xlpm.bestMove, MoveData[Move], MoveData[MakesContact]), FALSE),
            _xlpm.bestMoveCategory, IFERROR(_xlfn.XLOOKUP(_xlpm.bestMove, MoveData[Move], MoveData[Category]), ""),
            _xlpm.oppMove1Cond, EJ10,
            _xlpm.oppMove2Cond, EK10,
            _xlpm.oppMove3Cond, EL10,
            _xlpm.oppMove4Cond, EM10,
            _xlpm.oppMove1, EF10,
            _xlpm.oppMove2, EG10,
            _xlpm.oppMove3, EH10,
            _xlpm.oppMove4, EI10,
            _xlpm.contactRisk, AND(
                _xlpm.bestMoveContact = TRUE,
                OR(_xlpm.oppMove1Cond="RequiresTargetContactMove", _xlpm.oppMove2Cond="RequiresTargetContactMove", _xlpm.oppMove3Cond="RequiresTargetContactMove", _xlpm.oppMove4Cond="RequiresTargetContactMove")
            ),
            _xlpm.physicalRisk, AND(
                _xlpm.bestMoveCategory = "Physical",
                OR(_xlpm.oppMove1Cond="RequiresTargetPhysicalMove", _xlpm.oppMove2Cond="RequiresTargetPhysicalMove", _xlpm.oppMove3Cond="RequiresTargetPhysicalMove", _xlpm.oppMove4Cond="RequiresTargetPhysicalMove")
            ),
            _xlpm.riskMove, IF(_xlpm.contactRisk,
                IF(_xlpm.oppMove1Cond="RequiresTargetContactMove", _xlpm.oppMove1, IF(_xlpm.oppMove2Cond="RequiresTargetContactMove", _xlpm.oppMove2, IF(_xlpm.oppMove3Cond="RequiresTargetContactMove", _xlpm.oppMove3, _xlpm.oppMove4))),
                IF(_xlpm.physicalRisk,
                    IF(_xlpm.oppMove1Cond="RequiresTargetPhysicalMove", _xlpm.oppMove1, IF(_xlpm.oppMove2Cond="RequiresTargetPhysicalMove", _xlpm.oppMove2, IF(_xlpm.oppMove3Cond="RequiresTargetPhysicalMove", _xlpm.oppMove3, _xlpm.oppMove4))),
                    ""
                )
            ),
            IF(OR(_xlpm.contactRisk, _xlpm.physicalRisk), _xlpm.riskMove &amp; " risk", "")
        )
    )</calculatedColumnFormula>
    </tableColumn>
    <tableColumn id="136" xr3:uid="{1B4D096F-CCFB-468E-AF57-E22DA45796A7}" name="IncomingOHKONote" dataDxfId="0">
      <calculatedColumnFormula>IF(Calculator[[#This Row],[Team Member]]="","",_xlfn.LET(
        _xlpm.isImmune, DW10,
        _xlpm.incomingRatio, DD10,
        _xlpm.likelyThreshold, 3,
        _xlpm.possibleThreshold, 2,
        _xlpm.meetsLikelyIncoming, _xlpm.incomingRatio&gt;=_xlpm.likelyThreshold,
        _xlpm.meetsPossibleIncoming, _xlpm.incomingRatio&gt;=_xlpm.possibleThreshold,
        IF(_xlpm.isImmune, "",
            IF(_xlpm.meetsLikelyIncoming, "Likely Incoming OHKO",
            IF(_xlpm.meetsPossibleIncoming, "Possible Incoming OHKO", "")))
    ))</calculatedColumnFormula>
    </tableColumn>
    <tableColumn id="137" xr3:uid="{D11D4BEA-8B0B-47CF-A4FA-4565B651F5A2}" name="AbilityTacticalNote" dataDxfId="311">
      <calculatedColumnFormula>IF(A10="","",_xlfn.LET(
        _xlpm.opponentAbility, BC10,
        _xlpm.bestMove, B10,
        _xlpm.ohkoNote, DH10,
        _xlpm.tacticalEffect, IFERROR(_xlfn.XLOOKUP(_xlpm.opponentAbility, AbilityRules[Ability], AbilityRules[Effect]), ""),
        _xlpm.tacticalTargetType, IFERROR(_xlfn.XLOOKUP(_xlpm.opponentAbility, AbilityRules[Ability], AbilityRules[TargetType]), ""),
        _xlpm.bestMoveMakesContact, IFERROR(_xlfn.XLOOKUP(_xlpm.bestMove, MoveData[Move], MoveData[MakesContact]), FALSE),
        _xlpm.hasOHKONote, OR(
            ISNUMBER(SEARCH("Likely OHKO", _xlpm.ohkoNote)),
            ISNUMBER(SEARCH("Possible OHKO", _xlpm.ohkoNote)),
            ISNUMBER(SEARCH("Survival OHKO", _xlpm.ohkoNote))
        ),
        IF(_xlpm.tacticalEffect&lt;&gt;"Tactical", "",
            IF(AND(_xlpm.tacticalTargetType="Contact", _xlpm.bestMoveMakesContact=TRUE), _xlpm.opponentAbility&amp;" risk",
            IF(_xlpm.tacticalTargetType="Faint", _xlpm.opponentAbility&amp;" risk",
            IF(AND(_xlpm.tacticalTargetType="OHKO", _xlpm.hasOHKONote), "Sturdy may prevent OHKO",
            "")))
        )
    ))</calculatedColumnFormula>
    </tableColumn>
    <tableColumn id="138" xr3:uid="{BB3034BE-DDA9-40C9-A3F2-F1C1CE788EC6}" name="Move1ActCond" dataDxfId="310">
      <calculatedColumnFormula>IFERROR(VLOOKUP(Table8[[#This Row],[Move1]], MoveData[[Move]:[ActivationPowerMultiplier]], 11, FALSE), "Always")</calculatedColumnFormula>
    </tableColumn>
    <tableColumn id="139" xr3:uid="{8F98F0A1-B518-4EF9-B401-EB1B1B64D251}" name="Move1ActMult" dataDxfId="309">
      <calculatedColumnFormula>IFERROR(VLOOKUP(Table8[[#This Row],[Move1]], MoveData[[Move]:[ActivationPowerMultiplier]], 13, FALSE), 1)</calculatedColumnFormula>
    </tableColumn>
    <tableColumn id="140" xr3:uid="{95A8D96A-81D3-4F4E-A8E7-E6386340E11E}" name="Move1BoostedScore" dataDxfId="308">
      <calculatedColumnFormula>IF(AND(Table8[[#This Row],[Move1ActCond]]&lt;&gt;"Always", LEFT(Table8[[#This Row],[Move1ActCond]],4)="Targ"), Table8[[#This Row],[Move1Score]]*Table8[[#This Row],[Move1ActMult]], 0)</calculatedColumnFormula>
    </tableColumn>
    <tableColumn id="141" xr3:uid="{9A09C65B-765F-4240-8A0E-81E8C6EE2843}" name="Move2ActCond" dataDxfId="307">
      <calculatedColumnFormula>IFERROR(VLOOKUP(Table8[[#This Row],[Move2]], MoveData[[Move]:[ActivationPowerMultiplier]], 11, FALSE), "Always")</calculatedColumnFormula>
    </tableColumn>
    <tableColumn id="142" xr3:uid="{17F27A24-1D17-477F-A0E6-A6E508D1A6C5}" name="Move2ActMult" dataDxfId="306">
      <calculatedColumnFormula>IFERROR(VLOOKUP(Table8[[#This Row],[Move2]], MoveData[[Move]:[ActivationPowerMultiplier]], 13, FALSE), 1)</calculatedColumnFormula>
    </tableColumn>
    <tableColumn id="143" xr3:uid="{E9018AF9-0FFB-4253-85CB-CA265A62B708}" name="Move2BoostedScore" dataDxfId="305">
      <calculatedColumnFormula>IF(AND(Table8[[#This Row],[Move2ActCond]]&lt;&gt;"Always", LEFT(Table8[[#This Row],[Move2ActCond]],4)="Targ"), Table8[[#This Row],[Move2Score]]*Table8[[#This Row],[Move2ActMult]], 0)</calculatedColumnFormula>
    </tableColumn>
    <tableColumn id="144" xr3:uid="{D07D6475-3518-4399-BFBF-5CE77C44479F}" name="Move3ActCond" dataDxfId="304">
      <calculatedColumnFormula>IFERROR(VLOOKUP(Table8[[#This Row],[Move3]], MoveData[[Move]:[ActivationPowerMultiplier]], 11, FALSE), "Always")</calculatedColumnFormula>
    </tableColumn>
    <tableColumn id="145" xr3:uid="{42CBB225-8F84-4B5D-BA99-B85A862AD9CF}" name="Move3ActMult" dataDxfId="303">
      <calculatedColumnFormula>IFERROR(VLOOKUP(Table8[[#This Row],[Move3]], MoveData[[Move]:[ActivationPowerMultiplier]], 13, FALSE), 1)</calculatedColumnFormula>
    </tableColumn>
    <tableColumn id="146" xr3:uid="{8823C084-507B-4525-826A-D4082D7106B0}" name="Move3BoostedScore" dataDxfId="302">
      <calculatedColumnFormula>IF(AND(Table8[[#This Row],[Move3ActCond]]&lt;&gt;"Always", LEFT(Table8[[#This Row],[Move3ActCond]],4)="Targ"), Table8[[#This Row],[Move3Score]]*Table8[[#This Row],[Move3ActMult]], 0)</calculatedColumnFormula>
    </tableColumn>
    <tableColumn id="147" xr3:uid="{DEF1E066-DA76-49F1-A2AC-18B9426C6E09}" name="Move4ActCond" dataDxfId="301">
      <calculatedColumnFormula>IFERROR(VLOOKUP(Table8[[#This Row],[Move4]], MoveData[[Move]:[ActivationPowerMultiplier]], 11, FALSE), "Always")</calculatedColumnFormula>
    </tableColumn>
    <tableColumn id="148" xr3:uid="{B6F7E282-3CCF-41D4-B0B3-11A632365961}" name="Move4ActMult" dataDxfId="300">
      <calculatedColumnFormula>IFERROR(VLOOKUP(Table8[[#This Row],[Move4]], MoveData[[Move]:[ActivationPowerMultiplier]], 13, FALSE), 1)</calculatedColumnFormula>
    </tableColumn>
    <tableColumn id="149" xr3:uid="{23997A61-562D-4D0E-AA7B-1482A4E5D838}" name="Move4BoostedScore" dataDxfId="299">
      <calculatedColumnFormula>IF(AND(Table8[[#This Row],[Move4ActCond]]&lt;&gt;"Always", LEFT(Table8[[#This Row],[Move4ActCond]],4)="Targ"), Table8[[#This Row],[Move4Score]]*Table8[[#This Row],[Move4ActMult]], 0)</calculatedColumnFormula>
    </tableColumn>
    <tableColumn id="150" xr3:uid="{4EFAED50-328D-47CD-A07F-C5CEEFD82E07}" name="TeamCanStatus" dataDxfId="298">
      <calculatedColumnFormula array="1">_xlfn.LET(
        _xlpm.cond1, Table8[[#This Row],[Move1ActCond]],
        _xlpm.cond2, Table8[[#This Row],[Move2ActCond]],
        _xlpm.cond3, Table8[[#This Row],[Move3ActCond]],
        _xlpm.cond4, Table8[[#This Row],[Move4ActCond]],
        _xlpm.hasConditional, OR(_xlpm.cond1&lt;&gt;"Always", _xlpm.cond2&lt;&gt;"Always", _xlpm.cond3&lt;&gt;"Always", _xlpm.cond4&lt;&gt;"Always"),
        IF(NOT(_xlpm.hasConditional), FALSE,
            _xlfn.LET(
                _xlpm.reqStatuses, IFERROR(_xlfn._xlws.FILTER(ConditionRequirements[RequiredStatus],
                    (ConditionRequirements[ActivationCondition]=_xlpm.cond1)+
                    (ConditionRequirements[ActivationCondition]=_xlpm.cond2)+
                    (ConditionRequirements[ActivationCondition]=_xlpm.cond3)+
                    (ConditionRequirements[ActivationCondition]=_xlpm.cond4)), "None"),
                IF(ROWS(_xlpm.reqStatuses)=1, IF(_xlpm.reqStatuses="None", FALSE,
                    SUMPRODUCT(
                        (IFERROR(_xlfn.XLOOKUP(TeamData[Move1], MoveData[Move], MoveData[StatusEffect], ""), "")=_xlpm.reqStatuses)+
                        (IFERROR(_xlfn.XLOOKUP(TeamData[Move2], MoveData[Move], MoveData[StatusEffect], ""), "")=_xlpm.reqStatuses)+
                        (IFERROR(_xlfn.XLOOKUP(TeamData[Move3], MoveData[Move], MoveData[StatusEffect], ""), "")=_xlpm.reqStatuses)+
                        (IFERROR(_xlfn.XLOOKUP(TeamData[Move4], MoveData[Move], MoveData[StatusEffect], ""), "")=_xlpm.reqStatuses)
                    )&gt;0
                ),
                    SUMPRODUCT(
                        MMULT(
                            (IFERROR(_xlfn.XLOOKUP(TeamData[Move1], MoveData[Move], MoveData[StatusEffect], ""), "")=TRANSPOSE(_xlpm.reqStatuses))+
                            (IFERROR(_xlfn.XLOOKUP(TeamData[Move2], MoveData[Move], MoveData[StatusEffect], ""), "")=TRANSPOSE(_xlpm.reqStatuses))+
                            (IFERROR(_xlfn.XLOOKUP(TeamData[Move3], MoveData[Move], MoveData[StatusEffect], ""), "")=TRANSPOSE(_xlpm.reqStatuses))+
                            (IFERROR(_xlfn.XLOOKUP(TeamData[Move4], MoveData[Move], MoveData[StatusEffect], ""), "")=TRANSPOSE(_xlpm.reqStatuses)),
                            _xlfn.SEQUENCE(ROWS(_xlpm.reqStatuses),1,1,0)
                        )
                    )&gt;0
                )
            )
        )
    )</calculatedColumnFormula>
    </tableColumn>
    <tableColumn id="151" xr3:uid="{DB17EAF6-B191-498F-AC77-A557C54C7EDD}" name="BestConditionalMove" dataDxfId="297">
      <calculatedColumnFormula array="1">IF(NOT(Table8[[#This Row],[TeamCanStatus]]), "",
        _xlfn.LET(
            _xlpm.scores, _xlfn.HSTACK(Table8[[#This Row],[Move1BoostedScore]], Table8[[#This Row],[Move2BoostedScore]], Table8[[#This Row],[Move3BoostedScore]], Table8[[#This Row],[Move4BoostedScore]]),
            _xlpm.moves, _xlfn.HSTACK(Table8[[#This Row],[Move1]], Table8[[#This Row],[Move2]], Table8[[#This Row],[Move3]], Table8[[#This Row],[Move4]]),
            _xlpm.maxScore, MAX(_xlpm.scores),
            IF(_xlpm.maxScore=0, "", INDEX(_xlpm.moves, MATCH(_xlpm.maxScore, _xlpm.scores, 0)))
        )
    )</calculatedColumnFormula>
    </tableColumn>
    <tableColumn id="152" xr3:uid="{6107459B-3CC5-4487-B794-46596A3C0C80}" name="BestBoostedScore" dataDxfId="296">
      <calculatedColumnFormula>IF(NOT(Table8[[#This Row],[TeamCanStatus]]), 0, MAX(Table8[[#This Row],[Move1BoostedScore]], Table8[[#This Row],[Move2BoostedScore]], Table8[[#This Row],[Move3BoostedScore]], Table8[[#This Row],[Move4BoostedScore]]))</calculatedColumnFormula>
    </tableColumn>
    <tableColumn id="153" xr3:uid="{9D1EB77C-4513-4224-B871-A23EF027D055}" name="CondBoostedNote" dataDxfId="295">
      <calculatedColumnFormula>IF(ISNUMBER(SEARCH("Likely", Table8[[#This Row],[IncomingOHKONote]])), "",
        IF(AND(Table8[[#This Row],[TeamCanStatus]], Table8[[#This Row],[BestBoostedScore]]&gt;Table8[[#This Row],[BestMoveScoreNumeric]]),
            "Status-boosted "&amp;Table8[[#This Row],[BestConditionalMove]]&amp;" possible",
            ""))</calculatedColumnFormula>
    </tableColumn>
    <tableColumn id="154" xr3:uid="{29F40713-4EA6-4624-B0A7-CE8F4EEE7B98}" name="HasBodyPress" dataDxfId="294">
      <calculatedColumnFormula>OR(Table8[[#This Row],[Move1]]="Body Press", Table8[[#This Row],[Move2]]="Body Press", Table8[[#This Row],[Move3]]="Body Press", Table8[[#This Row],[Move4]]="Body Press")</calculatedColumnFormula>
    </tableColumn>
    <tableColumn id="155" xr3:uid="{6DF1E27F-7460-4FBE-8E1E-CAB21A4A1350}" name="MaxDefBoost" dataDxfId="293">
      <calculatedColumnFormula>MAX(
        IFERROR(_xlfn.XLOOKUP(Table8[[#This Row],[Move1]], MoveData[Move], MoveData[DefStageChange], 0), 0),
        IFERROR(_xlfn.XLOOKUP(Table8[[#This Row],[Move2]], MoveData[Move], MoveData[DefStageChange], 0), 0),
        IFERROR(_xlfn.XLOOKUP(Table8[[#This Row],[Move3]], MoveData[Move], MoveData[DefStageChange], 0), 0),
        IFERROR(_xlfn.XLOOKUP(Table8[[#This Row],[Move4]], MoveData[Move], MoveData[DefStageChange], 0), 0)
    )</calculatedColumnFormula>
    </tableColumn>
    <tableColumn id="156" xr3:uid="{E83664FC-A9A5-4174-AE13-79DB61B2B7B2}" name="BoostedBodyPressScore" dataDxfId="292">
      <calculatedColumnFormula array="1">IF(AND(Table8[[#This Row],[HasBodyPress]], Table8[[#This Row],[MaxDefBoost]]&gt;0),
        _xlfn.LET(
            _xlpm.baseScore, _xlfn.SWITCH(TRUE,
                Table8[[#This Row],[Move1]]="Body Press", Table8[[#This Row],[Move1Score]],
                Table8[[#This Row],[Move2]]="Body Press", Table8[[#This Row],[Move2Score]],
                Table8[[#This Row],[Move3]]="Body Press", Table8[[#This Row],[Move3Score]],
                Table8[[#This Row],[Move4]]="Body Press", Table8[[#This Row],[Move4Score]],
                0
            ),
            _xlpm.stageMultiplier, (2 + Table8[[#This Row],[MaxDefBoost]]) / 2,
            _xlpm.baseScore * _xlpm.stageMultiplier
        ),
        ""
    )</calculatedColumnFormula>
    </tableColumn>
    <tableColumn id="157" xr3:uid="{C15D4009-C1D8-46DD-81B2-A4C3A71C3672}" name="BodyPressNote" dataDxfId="291">
      <calculatedColumnFormula>IF(ISNUMBER(SEARCH("Likely", Table8[[#This Row],[IncomingOHKONote]])), "",
        IF(AND(Table8[[#This Row],[BoostedBodyPressScore]]&lt;&gt;"", Table8[[#This Row],[BoostedBodyPressScore]] &gt; Table8[[#This Row],[BestMoveScoreNumeric]]),
            "Defense-boosted Body Press possible",
            ""))</calculatedColumnFormula>
    </tableColumn>
    <tableColumn id="158" xr3:uid="{91B0022B-C587-4492-9808-33EE10FA963D}" name="Move1ItemBoosted" dataDxfId="290">
      <calculatedColumnFormula>_xlfn.LET(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O10,
    _xlpm.moveCategory, Q10,
    _xlpm.effectiveness, R10,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calculatedColumnFormula>
    </tableColumn>
    <tableColumn id="159" xr3:uid="{CE0A3E9F-5CE7-416B-A28C-426BC63C4E56}" name="Move2ItemBoosted" dataDxfId="289">
      <calculatedColumnFormula>_xlfn.LET(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W10,
    _xlpm.moveCategory, Y10,
    _xlpm.effectiveness, Z10,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calculatedColumnFormula>
    </tableColumn>
    <tableColumn id="160" xr3:uid="{D14A8C77-7753-4EEF-8264-EBF3CC0545E4}" name="Move3ItemBoosted" dataDxfId="288">
      <calculatedColumnFormula>_xlfn.LET(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AE10,
    _xlpm.moveCategory, AG10,
    _xlpm.effectiveness, AH10,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calculatedColumnFormula>
    </tableColumn>
    <tableColumn id="161" xr3:uid="{B66B787F-53B6-4100-82A4-17D13569DD56}" name="Move4ItemBoosted" dataDxfId="287">
      <calculatedColumnFormula>_xlfn.LET(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AM10,
    _xlpm.moveCategory, AO10,
    _xlpm.effectiveness, AP10,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calculatedColumnFormula>
    </tableColumn>
    <tableColumn id="162" xr3:uid="{30B1EE15-6985-41E5-8A1A-7109D0D8AEB0}" name="BestMoveItemBoosted" dataDxfId="286">
      <calculatedColumnFormula>_xlfn.LET(
    _xlpm.score1, IF(U10="",0,U10),
    _xlpm.score2, IF(AC10="",0,AC10),
    _xlpm.score3, IF(AK10="",0,AK10),
    _xlpm.score4, IF(AS10="",0,AS10),
    _xlpm.maxScore, MAX(_xlpm.score1,_xlpm.score2,_xlpm.score3,_xlpm.score4),
    _xlpm.boosted1, FO10,
    _xlpm.boosted2, FP10,
    _xlpm.boosted3, FQ10,
    _xlpm.boosted4, FR10,
    IF(_xlpm.maxScore=0, FALSE,
        IF(_xlpm.score1=_xlpm.maxScore, _xlpm.boosted1,
        IF(_xlpm.score2=_xlpm.maxScore, _xlpm.boosted2,
        IF(_xlpm.score3=_xlpm.maxScore, _xlpm.boosted3,
        IF(_xlpm.score4=_xlpm.maxScore, _xlpm.boosted4,
        FALSE)))))
)</calculatedColumnFormula>
    </tableColumn>
    <tableColumn id="163" xr3:uid="{DDB1C62D-1324-4CBF-851D-86BACE880556}" name="IncomingItemBoosted" dataDxfId="285">
      <calculatedColumnFormula>_xlfn.LET(
    _xlpm.heldItem, _xlfn.XLOOKUP($A10,TeamData[Pokemon],TeamData[Held Item],""),
    _xlpm.itemEffectType, _xlfn.XLOOKUP(_xlpm.heldItem,Items[Item],Items[EffectType],"None"),
    _xlpm.itemAppliesTo, _xlfn.XLOOKUP(_xlpm.heldItem,Items[Item],Items[AppliesTo],"None"),
    AND(_xlpm.itemEffectType="StatMultiplier", _xlpm.itemAppliesTo="Defense")
)</calculatedColumnFormula>
    </tableColumn>
    <tableColumn id="164" xr3:uid="{8B984D49-ED4E-4E29-BE05-06F646811A53}" name="BestMoveScoreNumeric" dataDxfId="284">
      <calculatedColumnFormula>IFERROR(MAX(IF(U10="",0,U10),IF(AC10="",0,AC10),IF(AK10="",0,AK10),IF(AS10="",0,AS10)),"")</calculatedColumnFormula>
    </tableColumn>
    <tableColumn id="165" xr3:uid="{6B28EBE1-B1BB-4C2D-8C8A-64D1056ED1AA}" name="IncomingWorstScoreNumeric" dataDxfId="283">
      <calculatedColumnFormula array="1">IF($A10="",
"",
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DP10,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DQ10,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DR10,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DS10,
    _xlpm.teamType1, INDEX(TeamData[Type1],MATCH(A10,TeamData[Pokemon],0)),
    _xlpm.teamType2, INDEX(TeamData[Type2],MATCH(A10,TeamData[Pokemon],0)),
    _xlpm.teamDEF, INDEX(TeamData[EffectiveDEF],MATCH(A10,TeamData[Pokemon],0)),
    _xlpm.teamSPD, INDEX(TeamData[EffectiveSPD],MATCH(A10,TeamData[Pokemon],0)),
    _xlpm.teamATK, INDEX(TeamData[ATK],MATCH(A10,TeamData[Pokemon],0)),
    _xlpm.oppATK, $AU10,
    _xlpm.oppDEF, $AV10,
    _xlpm.oppSPA, $AW10,
    _xlpm.oppType1, $N$2,
    _xlpm.oppType2, $O$2,
    _xlpm.intimidateMod, IF($BB10="Intimidate",0.667,1),
    _xlpm.typeEff1, 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
    _xlpm.typeEff2, 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
    _xlpm.typeEff3, 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
    _xlpm.typeEff4, 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_xlpm.teamSPD)),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_xlpm.teamSPD)),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_xlpm.teamSPD)),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_xlpm.teamSPD)),
    _xlpm.score1, IF(OR(_xlpm.move1Power="Varies", _xlpm.move1DmgMethod="Fixed", _xlpm.move1DmgMethod="OHKO"), 0, IFERROR(_xlpm.move1Power * _xlpm.hits1 * _xlpm.typeEff1 * _xlpm.stab1 * $BZ10 * _xlpm.atkStat1 / _xlpm.defStat1, 0)),
    _xlpm.score2, IF(OR(_xlpm.move2Power="Varies", _xlpm.move2DmgMethod="Fixed", _xlpm.move2DmgMethod="OHKO"), 0, IFERROR(_xlpm.move2Power * _xlpm.hits2 * _xlpm.typeEff2 * _xlpm.stab2 * $CA10 * _xlpm.atkStat2 / _xlpm.defStat2, 0)),
    _xlpm.score3, IF(OR(_xlpm.move3Power="Varies", _xlpm.move3DmgMethod="Fixed", _xlpm.move3DmgMethod="OHKO"), 0, IFERROR(_xlpm.move3Power * _xlpm.hits3 * _xlpm.typeEff3 * _xlpm.stab3 * $CB10 * _xlpm.atkStat3 / _xlpm.defStat3, 0)),
    _xlpm.score4, IF(OR(_xlpm.move4Power="Varies", _xlpm.move4DmgMethod="Fixed", _xlpm.move4DmgMethod="OHKO"), 0, IFERROR(_xlpm.move4Power * _xlpm.hits4 * _xlpm.typeEff4 * _xlpm.stab4 * $CC10 * _xlpm.atkStat4 / _xlpm.defStat4, 0)),
    MAX(_xlpm.score1*$EN10, _xlpm.score2*$EO10, _xlpm.score3*$EP10, _xlpm.score4*$EQ10)
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84FF7-2263-4A4F-A391-5AFD71A30051}" name="ConditionRequirements" displayName="ConditionRequirements" ref="F1:G6" totalsRowShown="0">
  <autoFilter ref="F1:G6" xr:uid="{66984FF7-2263-4A4F-A391-5AFD71A30051}"/>
  <tableColumns count="2">
    <tableColumn id="1" xr3:uid="{56A80551-8628-42B3-BDF8-E964C5B01E9F}" name="ActivationCondition"/>
    <tableColumn id="2" xr3:uid="{F6DA3B24-1036-4DE9-8E4D-DE03600D2E38}" name="Required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B017E3-F5B1-495C-9ABD-36571F44CEBD}" name="Items" displayName="Items" ref="A1:H16" totalsRowShown="0" headerRowDxfId="206">
  <autoFilter ref="A1:H16" xr:uid="{25B017E3-F5B1-495C-9ABD-36571F44CEBD}"/>
  <tableColumns count="8">
    <tableColumn id="1" xr3:uid="{3C672F89-A6AC-44A8-94D3-D4EDA00F95CD}" name="Item"/>
    <tableColumn id="2" xr3:uid="{B7938D67-B987-45C7-839E-F9B2A600FDF8}" name="EffectType"/>
    <tableColumn id="3" xr3:uid="{1872EEF6-C472-41BD-98FC-EC603378A73A}" name="AppliesTo"/>
    <tableColumn id="4" xr3:uid="{E7EDB98D-B23F-440F-876E-8D3334638C0B}" name="StatAffected"/>
    <tableColumn id="5" xr3:uid="{60E4ACE0-C61C-4B60-B102-48F74207F51F}" name="MoveTypeAffected"/>
    <tableColumn id="6" xr3:uid="{CF377CA7-2DC8-4176-A263-8E32530824D1}" name="MoveCategoryAffected"/>
    <tableColumn id="7" xr3:uid="{C0EE8117-C858-4EC8-ACAF-43F40D79C498}" name="Multiplier"/>
    <tableColumn id="8" xr3:uid="{8A366047-4E5D-4B25-9B08-8645EB7F1F2F}" name="Con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5DB3-2B97-4C30-821F-CB92F03EBAE4}">
  <sheetPr>
    <tabColor rgb="FF74B9FF"/>
  </sheetPr>
  <dimension ref="A1:A293"/>
  <sheetViews>
    <sheetView showGridLines="0" topLeftCell="A59" workbookViewId="0">
      <selection activeCell="D229" sqref="D229"/>
    </sheetView>
  </sheetViews>
  <sheetFormatPr defaultRowHeight="15"/>
  <cols>
    <col min="1" max="1" width="15.28515625" customWidth="1"/>
  </cols>
  <sheetData>
    <row r="1" spans="1:1" ht="31.5">
      <c r="A1" s="6"/>
    </row>
    <row r="3" spans="1:1" ht="18">
      <c r="A3" s="7"/>
    </row>
    <row r="7" spans="1:1" ht="24">
      <c r="A7" s="8"/>
    </row>
    <row r="10" spans="1:1">
      <c r="A10" s="9"/>
    </row>
    <row r="11" spans="1:1">
      <c r="A11" s="10"/>
    </row>
    <row r="29" spans="1:1" ht="31.5">
      <c r="A29" s="6"/>
    </row>
    <row r="32" spans="1:1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9"/>
    </row>
    <row r="44" spans="1:1">
      <c r="A44" s="9"/>
    </row>
    <row r="45" spans="1:1">
      <c r="A45" s="9"/>
    </row>
    <row r="46" spans="1:1">
      <c r="A46" s="9"/>
    </row>
    <row r="47" spans="1:1">
      <c r="A47" s="9"/>
    </row>
    <row r="48" spans="1:1">
      <c r="A48" s="9"/>
    </row>
    <row r="49" spans="1:1">
      <c r="A49" s="9"/>
    </row>
    <row r="57" spans="1:1" ht="31.5">
      <c r="A57" s="6"/>
    </row>
    <row r="64" spans="1:1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  <row r="70" spans="1:1">
      <c r="A70" s="9"/>
    </row>
    <row r="71" spans="1:1">
      <c r="A71" s="9"/>
    </row>
    <row r="72" spans="1:1">
      <c r="A72" s="9"/>
    </row>
    <row r="73" spans="1:1">
      <c r="A73" s="9"/>
    </row>
    <row r="74" spans="1:1">
      <c r="A74" s="9"/>
    </row>
    <row r="75" spans="1:1">
      <c r="A75" s="9"/>
    </row>
    <row r="76" spans="1:1">
      <c r="A76" s="9"/>
    </row>
    <row r="77" spans="1:1">
      <c r="A77" s="9"/>
    </row>
    <row r="78" spans="1:1">
      <c r="A78" s="9"/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93" spans="1:1" ht="31.5">
      <c r="A93" s="6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9"/>
    </row>
    <row r="113" spans="1:1">
      <c r="A113" s="9"/>
    </row>
    <row r="123" spans="1:1" ht="31.5">
      <c r="A123" s="6"/>
    </row>
    <row r="125" spans="1:1" ht="24">
      <c r="A125" s="8"/>
    </row>
    <row r="129" spans="1:1" ht="24">
      <c r="A129" s="8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3" spans="1:1" ht="31.5">
      <c r="A143" s="6"/>
    </row>
    <row r="148" spans="1:1">
      <c r="A148" s="9"/>
    </row>
    <row r="149" spans="1:1">
      <c r="A149" s="9"/>
    </row>
    <row r="153" spans="1:1" ht="18">
      <c r="A153" s="7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3" spans="1:1" ht="18">
      <c r="A163" s="7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9" spans="1:1" ht="18">
      <c r="A169" s="7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9" spans="1:1" ht="31.5">
      <c r="A189" s="6"/>
    </row>
    <row r="192" spans="1:1">
      <c r="A192" s="9"/>
    </row>
    <row r="193" spans="1:1">
      <c r="A193" s="12"/>
    </row>
    <row r="198" spans="1:1">
      <c r="A198" s="9"/>
    </row>
    <row r="199" spans="1:1">
      <c r="A199" s="9"/>
    </row>
    <row r="202" spans="1:1">
      <c r="A202" s="9"/>
    </row>
    <row r="203" spans="1:1">
      <c r="A203" s="9"/>
    </row>
    <row r="206" spans="1:1">
      <c r="A206" s="9"/>
    </row>
    <row r="207" spans="1:1">
      <c r="A207" s="9"/>
    </row>
    <row r="211" spans="1:1" ht="31.5">
      <c r="A211" s="6"/>
    </row>
    <row r="227" spans="1:1" ht="31.5">
      <c r="A227" s="6"/>
    </row>
    <row r="229" spans="1:1" ht="24">
      <c r="A229" s="8"/>
    </row>
    <row r="233" spans="1:1" ht="18">
      <c r="A233" s="7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1" spans="1:1" ht="18">
      <c r="A261" s="7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3" spans="1:1" ht="31.5">
      <c r="A273" s="6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3" spans="1:1" ht="31.5">
      <c r="A293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D17C-51A3-43F5-80CE-756C1595C290}">
  <dimension ref="A1:AH100"/>
  <sheetViews>
    <sheetView workbookViewId="0">
      <pane xSplit="1" topLeftCell="B1" activePane="topRight" state="frozen"/>
      <selection activeCell="A2" sqref="A2"/>
      <selection pane="topRight" activeCell="J3" sqref="J3"/>
    </sheetView>
  </sheetViews>
  <sheetFormatPr defaultRowHeight="15"/>
  <cols>
    <col min="1" max="1" width="13.42578125" bestFit="1" customWidth="1"/>
    <col min="2" max="2" width="9.140625" bestFit="1" customWidth="1"/>
    <col min="3" max="3" width="9.5703125" bestFit="1" customWidth="1"/>
    <col min="4" max="4" width="9.28515625" bestFit="1" customWidth="1"/>
    <col min="5" max="5" width="6.7109375" bestFit="1" customWidth="1"/>
    <col min="6" max="7" width="7.85546875" bestFit="1" customWidth="1"/>
    <col min="8" max="10" width="8" bestFit="1" customWidth="1"/>
    <col min="11" max="11" width="17.28515625" bestFit="1" customWidth="1"/>
    <col min="12" max="12" width="14.7109375" bestFit="1" customWidth="1"/>
    <col min="13" max="13" width="16.5703125" bestFit="1" customWidth="1"/>
    <col min="14" max="14" width="19.42578125" bestFit="1" customWidth="1"/>
    <col min="15" max="15" width="17.28515625" bestFit="1" customWidth="1"/>
    <col min="16" max="16" width="17.42578125" bestFit="1" customWidth="1"/>
    <col min="17" max="17" width="15" bestFit="1" customWidth="1"/>
    <col min="18" max="18" width="17.28515625" bestFit="1" customWidth="1"/>
    <col min="19" max="19" width="18.7109375" bestFit="1" customWidth="1"/>
    <col min="20" max="20" width="19.85546875" customWidth="1"/>
    <col min="21" max="22" width="15.140625" bestFit="1" customWidth="1"/>
    <col min="23" max="23" width="17.28515625" bestFit="1" customWidth="1"/>
    <col min="24" max="24" width="18.7109375" bestFit="1" customWidth="1"/>
    <col min="25" max="25" width="19" customWidth="1"/>
    <col min="26" max="26" width="16" bestFit="1" customWidth="1"/>
    <col min="27" max="27" width="15.140625" bestFit="1" customWidth="1"/>
    <col min="28" max="28" width="17.28515625" bestFit="1" customWidth="1"/>
    <col min="29" max="29" width="18.85546875" bestFit="1" customWidth="1"/>
    <col min="30" max="30" width="17.85546875" customWidth="1"/>
    <col min="31" max="31" width="14.28515625" bestFit="1" customWidth="1"/>
    <col min="32" max="32" width="16" bestFit="1" customWidth="1"/>
    <col min="33" max="34" width="0" hidden="1" customWidth="1"/>
  </cols>
  <sheetData>
    <row r="1" spans="1:34" ht="24" customHeight="1">
      <c r="A1" s="69" t="s">
        <v>0</v>
      </c>
      <c r="B1" s="69" t="s">
        <v>3</v>
      </c>
      <c r="C1" s="69" t="s">
        <v>4</v>
      </c>
      <c r="D1" s="69" t="s">
        <v>819</v>
      </c>
      <c r="E1" s="69" t="s">
        <v>5</v>
      </c>
      <c r="F1" s="69" t="s">
        <v>6</v>
      </c>
      <c r="G1" s="69" t="s">
        <v>7</v>
      </c>
      <c r="H1" s="69" t="s">
        <v>8</v>
      </c>
      <c r="I1" s="69" t="s">
        <v>9</v>
      </c>
      <c r="J1" s="69" t="s">
        <v>10</v>
      </c>
      <c r="K1" s="69" t="s">
        <v>11</v>
      </c>
      <c r="L1" s="69" t="s">
        <v>12</v>
      </c>
      <c r="M1" s="69" t="s">
        <v>48</v>
      </c>
      <c r="N1" s="69" t="s">
        <v>27</v>
      </c>
      <c r="O1" s="69" t="s">
        <v>657</v>
      </c>
      <c r="P1" s="69" t="s">
        <v>13</v>
      </c>
      <c r="Q1" s="69" t="s">
        <v>14</v>
      </c>
      <c r="R1" s="69" t="s">
        <v>49</v>
      </c>
      <c r="S1" s="69" t="s">
        <v>28</v>
      </c>
      <c r="T1" s="69" t="s">
        <v>658</v>
      </c>
      <c r="U1" s="69" t="s">
        <v>15</v>
      </c>
      <c r="V1" s="69" t="s">
        <v>16</v>
      </c>
      <c r="W1" s="69" t="s">
        <v>50</v>
      </c>
      <c r="X1" s="69" t="s">
        <v>29</v>
      </c>
      <c r="Y1" s="69" t="s">
        <v>659</v>
      </c>
      <c r="Z1" s="69" t="s">
        <v>17</v>
      </c>
      <c r="AA1" s="69" t="s">
        <v>18</v>
      </c>
      <c r="AB1" s="69" t="s">
        <v>51</v>
      </c>
      <c r="AC1" s="69" t="s">
        <v>30</v>
      </c>
      <c r="AD1" s="69" t="s">
        <v>660</v>
      </c>
      <c r="AE1" s="69" t="s">
        <v>828</v>
      </c>
      <c r="AF1" s="69" t="s">
        <v>1018</v>
      </c>
      <c r="AG1" s="67" t="s">
        <v>1332</v>
      </c>
      <c r="AH1" s="67" t="s">
        <v>1333</v>
      </c>
    </row>
    <row r="2" spans="1:34" ht="16.5">
      <c r="A2" s="70" t="s">
        <v>1296</v>
      </c>
      <c r="B2" s="70" t="s">
        <v>46</v>
      </c>
      <c r="C2" s="70" t="s">
        <v>19</v>
      </c>
      <c r="D2" s="70">
        <v>58</v>
      </c>
      <c r="E2" s="70">
        <v>159</v>
      </c>
      <c r="F2" s="70">
        <v>93</v>
      </c>
      <c r="G2" s="70">
        <v>124</v>
      </c>
      <c r="H2" s="70">
        <v>213</v>
      </c>
      <c r="I2" s="70">
        <v>108</v>
      </c>
      <c r="J2" s="70">
        <v>119</v>
      </c>
      <c r="K2" s="70" t="s">
        <v>533</v>
      </c>
      <c r="L2" s="71" t="str">
        <f>IFERROR(_xlfn.XLOOKUP(TeamData[[#This Row],[Move1]],MoveData[Move],MoveData[Type]),"")</f>
        <v>Ghost</v>
      </c>
      <c r="M2" s="72">
        <f>IFERROR(_xlfn.XLOOKUP(TeamData[[#This Row],[Move1]],MoveData[Move],MoveData[Power]),"")</f>
        <v>80</v>
      </c>
      <c r="N2" s="71" t="str">
        <f>IFERROR(_xlfn.XLOOKUP(TeamData[[#This Row],[Move1]],MoveData[Move],MoveData[Category]),"")</f>
        <v>Special</v>
      </c>
      <c r="O2" s="73">
        <f>IFERROR(_xlfn.XLOOKUP(TeamData[[#This Row],[Move1]],MoveData[Move],MoveData[Accuracy]),"")</f>
        <v>100</v>
      </c>
      <c r="P2" s="70" t="s">
        <v>347</v>
      </c>
      <c r="Q2" s="71" t="str">
        <f>IFERROR(_xlfn.XLOOKUP(TeamData[[#This Row],[Move2]],MoveData[Move],MoveData[Type]),"")</f>
        <v>Ghost</v>
      </c>
      <c r="R2" s="72">
        <f>IFERROR(_xlfn.XLOOKUP(TeamData[[#This Row],[Move2]],MoveData[Move],MoveData[Power]),"")</f>
        <v>65</v>
      </c>
      <c r="S2" s="71" t="str">
        <f>IFERROR(_xlfn.XLOOKUP(TeamData[[#This Row],[Move2]],MoveData[Move],MoveData[Category]),"")</f>
        <v>Special</v>
      </c>
      <c r="T2" s="73">
        <f>IFERROR(_xlfn.XLOOKUP(TeamData[[#This Row],[Move2]],MoveData[Move],MoveData[Accuracy]),"")</f>
        <v>100</v>
      </c>
      <c r="U2" s="70" t="s">
        <v>666</v>
      </c>
      <c r="V2" s="71" t="str">
        <f>IFERROR(_xlfn.XLOOKUP(TeamData[[#This Row],[Move3]],MoveData[Move],MoveData[Type]),"")</f>
        <v>Fire</v>
      </c>
      <c r="W2" s="72">
        <f>IFERROR(_xlfn.XLOOKUP(TeamData[[#This Row],[Move3]],MoveData[Move],MoveData[Power]),"")</f>
        <v>0</v>
      </c>
      <c r="X2" s="71" t="str">
        <f>IFERROR(_xlfn.XLOOKUP(TeamData[[#This Row],[Move3]],MoveData[Move],MoveData[Category]),"")</f>
        <v>Status</v>
      </c>
      <c r="Y2" s="73">
        <f>IFERROR(_xlfn.XLOOKUP(TeamData[[#This Row],[Move3]],MoveData[Move],MoveData[Accuracy]),"")</f>
        <v>85</v>
      </c>
      <c r="Z2" s="70" t="s">
        <v>345</v>
      </c>
      <c r="AA2" s="71" t="str">
        <f>IFERROR(_xlfn.XLOOKUP(TeamData[[#This Row],[Move4]],MoveData[Move],MoveData[Type]),"")</f>
        <v>Fire</v>
      </c>
      <c r="AB2" s="72">
        <f>IFERROR(_xlfn.XLOOKUP(TeamData[[#This Row],[Move4]],MoveData[Move],MoveData[Power]),"")</f>
        <v>95</v>
      </c>
      <c r="AC2" s="71" t="str">
        <f>IFERROR(_xlfn.XLOOKUP(TeamData[[#This Row],[Move4]],MoveData[Move],MoveData[Category]),"")</f>
        <v>Special</v>
      </c>
      <c r="AD2" s="73">
        <f>IFERROR(_xlfn.XLOOKUP(TeamData[[#This Row],[Move4]],MoveData[Move],MoveData[Accuracy]),"")</f>
        <v>90</v>
      </c>
      <c r="AE2" s="70" t="s">
        <v>844</v>
      </c>
      <c r="AF2" s="70" t="s">
        <v>1290</v>
      </c>
      <c r="AG2" s="19">
        <f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_xlpm.statAffected="DEF")), _xlpm.multiplier, 1),
    TeamData[[#This Row],[DEF]] * _xlpm.finalMult
)</f>
        <v>124</v>
      </c>
      <c r="AH2" s="19">
        <f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_xlpm.statAffected="SPD")), _xlpm.multiplier, 1),
    TeamData[[#This Row],[SPD]] * _xlpm.finalMult
)</f>
        <v>108</v>
      </c>
    </row>
    <row r="3" spans="1:34" ht="16.5">
      <c r="A3" s="70" t="s">
        <v>699</v>
      </c>
      <c r="B3" s="70" t="s">
        <v>35</v>
      </c>
      <c r="C3" s="70" t="s">
        <v>24</v>
      </c>
      <c r="D3" s="70">
        <v>57</v>
      </c>
      <c r="E3" s="70">
        <v>195</v>
      </c>
      <c r="F3" s="70">
        <v>129</v>
      </c>
      <c r="G3" s="70">
        <v>144</v>
      </c>
      <c r="H3" s="70">
        <v>71</v>
      </c>
      <c r="I3" s="70">
        <v>125</v>
      </c>
      <c r="J3" s="70">
        <v>104</v>
      </c>
      <c r="K3" s="70" t="s">
        <v>252</v>
      </c>
      <c r="L3" s="71" t="str">
        <f>IFERROR(_xlfn.XLOOKUP(TeamData[[#This Row],[Move1]],MoveData[Move],MoveData[Type]),"")</f>
        <v>Flying</v>
      </c>
      <c r="M3" s="72">
        <f>IFERROR(_xlfn.XLOOKUP(TeamData[[#This Row],[Move1]],MoveData[Move],MoveData[Power]),"")</f>
        <v>80</v>
      </c>
      <c r="N3" s="71" t="str">
        <f>IFERROR(_xlfn.XLOOKUP(TeamData[[#This Row],[Move1]],MoveData[Move],MoveData[Category]),"")</f>
        <v>Physical</v>
      </c>
      <c r="O3" s="73">
        <f>IFERROR(_xlfn.XLOOKUP(TeamData[[#This Row],[Move1]],MoveData[Move],MoveData[Accuracy]),"")</f>
        <v>100</v>
      </c>
      <c r="P3" s="70" t="s">
        <v>375</v>
      </c>
      <c r="Q3" s="71" t="str">
        <f>IFERROR(_xlfn.XLOOKUP(TeamData[[#This Row],[Move2]],MoveData[Move],MoveData[Type]),"")</f>
        <v>Steel</v>
      </c>
      <c r="R3" s="72">
        <f>IFERROR(_xlfn.XLOOKUP(TeamData[[#This Row],[Move2]],MoveData[Move],MoveData[Power]),"")</f>
        <v>80</v>
      </c>
      <c r="S3" s="71" t="str">
        <f>IFERROR(_xlfn.XLOOKUP(TeamData[[#This Row],[Move2]],MoveData[Move],MoveData[Category]),"")</f>
        <v>Physical</v>
      </c>
      <c r="T3" s="73">
        <f>IFERROR(_xlfn.XLOOKUP(TeamData[[#This Row],[Move2]],MoveData[Move],MoveData[Accuracy]),"")</f>
        <v>100</v>
      </c>
      <c r="U3" s="70" t="s">
        <v>748</v>
      </c>
      <c r="V3" s="71" t="str">
        <f>IFERROR(_xlfn.XLOOKUP(TeamData[[#This Row],[Move3]],MoveData[Move],MoveData[Type]),"")</f>
        <v>Steel</v>
      </c>
      <c r="W3" s="72">
        <f>IFERROR(_xlfn.XLOOKUP(TeamData[[#This Row],[Move3]],MoveData[Move],MoveData[Power]),"")</f>
        <v>0</v>
      </c>
      <c r="X3" s="71" t="str">
        <f>IFERROR(_xlfn.XLOOKUP(TeamData[[#This Row],[Move3]],MoveData[Move],MoveData[Category]),"")</f>
        <v>Status</v>
      </c>
      <c r="Y3" s="73">
        <f>IFERROR(_xlfn.XLOOKUP(TeamData[[#This Row],[Move3]],MoveData[Move],MoveData[Accuracy]),"")</f>
        <v>100</v>
      </c>
      <c r="Z3" s="70" t="s">
        <v>174</v>
      </c>
      <c r="AA3" s="71" t="str">
        <f>IFERROR(_xlfn.XLOOKUP(TeamData[[#This Row],[Move4]],MoveData[Move],MoveData[Type]),"")</f>
        <v>Fighting</v>
      </c>
      <c r="AB3" s="72">
        <f>IFERROR(_xlfn.XLOOKUP(TeamData[[#This Row],[Move4]],MoveData[Move],MoveData[Power]),"")</f>
        <v>80</v>
      </c>
      <c r="AC3" s="71" t="str">
        <f>IFERROR(_xlfn.XLOOKUP(TeamData[[#This Row],[Move4]],MoveData[Move],MoveData[Category]),"")</f>
        <v>Physical</v>
      </c>
      <c r="AD3" s="73">
        <f>IFERROR(_xlfn.XLOOKUP(TeamData[[#This Row],[Move4]],MoveData[Move],MoveData[Accuracy]),"")</f>
        <v>100</v>
      </c>
      <c r="AE3" s="70" t="s">
        <v>1287</v>
      </c>
      <c r="AF3" s="70" t="s">
        <v>1297</v>
      </c>
      <c r="AG3" s="19">
        <f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_xlpm.statAffected="DEF")), _xlpm.multiplier, 1),
    TeamData[[#This Row],[DEF]] * _xlpm.finalMult
)</f>
        <v>144</v>
      </c>
      <c r="AH3" s="19">
        <f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_xlpm.statAffected="SPD")), _xlpm.multiplier, 1),
    TeamData[[#This Row],[SPD]] * _xlpm.finalMult
)</f>
        <v>125</v>
      </c>
    </row>
    <row r="4" spans="1:34" ht="16.5">
      <c r="A4" s="70" t="s">
        <v>1367</v>
      </c>
      <c r="B4" s="70" t="s">
        <v>41</v>
      </c>
      <c r="C4" s="70"/>
      <c r="D4" s="70">
        <v>57</v>
      </c>
      <c r="E4" s="70">
        <v>149</v>
      </c>
      <c r="F4" s="70">
        <v>139</v>
      </c>
      <c r="G4" s="70">
        <v>92</v>
      </c>
      <c r="H4" s="70">
        <v>130</v>
      </c>
      <c r="I4" s="70">
        <v>112</v>
      </c>
      <c r="J4" s="70">
        <v>136</v>
      </c>
      <c r="K4" s="70" t="s">
        <v>227</v>
      </c>
      <c r="L4" s="71" t="str">
        <f>IFERROR(_xlfn.XLOOKUP(TeamData[[#This Row],[Move1]],MoveData[Move],MoveData[Type]),"")</f>
        <v>Ground</v>
      </c>
      <c r="M4" s="72">
        <f>IFERROR(_xlfn.XLOOKUP(TeamData[[#This Row],[Move1]],MoveData[Move],MoveData[Power]),"")</f>
        <v>80</v>
      </c>
      <c r="N4" s="71" t="str">
        <f>IFERROR(_xlfn.XLOOKUP(TeamData[[#This Row],[Move1]],MoveData[Move],MoveData[Category]),"")</f>
        <v>Physical</v>
      </c>
      <c r="O4" s="73">
        <f>IFERROR(_xlfn.XLOOKUP(TeamData[[#This Row],[Move1]],MoveData[Move],MoveData[Accuracy]),"")</f>
        <v>100</v>
      </c>
      <c r="P4" s="70" t="s">
        <v>617</v>
      </c>
      <c r="Q4" s="71" t="str">
        <f>IFERROR(_xlfn.XLOOKUP(TeamData[[#This Row],[Move2]],MoveData[Move],MoveData[Type]),"")</f>
        <v>Electric</v>
      </c>
      <c r="R4" s="72">
        <f>IFERROR(_xlfn.XLOOKUP(TeamData[[#This Row],[Move2]],MoveData[Move],MoveData[Power]),"")</f>
        <v>90</v>
      </c>
      <c r="S4" s="71" t="str">
        <f>IFERROR(_xlfn.XLOOKUP(TeamData[[#This Row],[Move2]],MoveData[Move],MoveData[Category]),"")</f>
        <v>Special</v>
      </c>
      <c r="T4" s="73">
        <f>IFERROR(_xlfn.XLOOKUP(TeamData[[#This Row],[Move2]],MoveData[Move],MoveData[Accuracy]),"")</f>
        <v>100</v>
      </c>
      <c r="U4" s="70" t="s">
        <v>646</v>
      </c>
      <c r="V4" s="71" t="str">
        <f>IFERROR(_xlfn.XLOOKUP(TeamData[[#This Row],[Move3]],MoveData[Move],MoveData[Type]),"")</f>
        <v>Electric</v>
      </c>
      <c r="W4" s="72">
        <f>IFERROR(_xlfn.XLOOKUP(TeamData[[#This Row],[Move3]],MoveData[Move],MoveData[Power]),"")</f>
        <v>90</v>
      </c>
      <c r="X4" s="71" t="str">
        <f>IFERROR(_xlfn.XLOOKUP(TeamData[[#This Row],[Move3]],MoveData[Move],MoveData[Category]),"")</f>
        <v>Physical</v>
      </c>
      <c r="Y4" s="73">
        <f>IFERROR(_xlfn.XLOOKUP(TeamData[[#This Row],[Move3]],MoveData[Move],MoveData[Accuracy]),"")</f>
        <v>100</v>
      </c>
      <c r="Z4" s="70" t="s">
        <v>599</v>
      </c>
      <c r="AA4" s="71" t="str">
        <f>IFERROR(_xlfn.XLOOKUP(TeamData[[#This Row],[Move4]],MoveData[Move],MoveData[Type]),"")</f>
        <v>Water</v>
      </c>
      <c r="AB4" s="72">
        <f>IFERROR(_xlfn.XLOOKUP(TeamData[[#This Row],[Move4]],MoveData[Move],MoveData[Power]),"")</f>
        <v>90</v>
      </c>
      <c r="AC4" s="71" t="str">
        <f>IFERROR(_xlfn.XLOOKUP(TeamData[[#This Row],[Move4]],MoveData[Move],MoveData[Category]),"")</f>
        <v>Special</v>
      </c>
      <c r="AD4" s="73">
        <f>IFERROR(_xlfn.XLOOKUP(TeamData[[#This Row],[Move4]],MoveData[Move],MoveData[Accuracy]),"")</f>
        <v>100</v>
      </c>
      <c r="AE4" s="70" t="s">
        <v>1271</v>
      </c>
      <c r="AF4" s="70" t="s">
        <v>1293</v>
      </c>
      <c r="AG4" s="19">
        <f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_xlpm.statAffected="DEF")), _xlpm.multiplier, 1),
    TeamData[[#This Row],[DEF]] * _xlpm.finalMult
)</f>
        <v>92</v>
      </c>
      <c r="AH4" s="19">
        <f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_xlpm.statAffected="SPD")), _xlpm.multiplier, 1),
    TeamData[[#This Row],[SPD]] * _xlpm.finalMult
)</f>
        <v>112</v>
      </c>
    </row>
    <row r="5" spans="1:34" ht="16.5">
      <c r="A5" s="70" t="s">
        <v>731</v>
      </c>
      <c r="B5" s="70" t="s">
        <v>38</v>
      </c>
      <c r="C5" s="70"/>
      <c r="D5" s="70">
        <v>57</v>
      </c>
      <c r="E5" s="70">
        <v>147</v>
      </c>
      <c r="F5" s="70">
        <v>137</v>
      </c>
      <c r="G5" s="70">
        <v>76</v>
      </c>
      <c r="H5" s="70">
        <v>141</v>
      </c>
      <c r="I5" s="70">
        <v>72</v>
      </c>
      <c r="J5" s="70">
        <v>128</v>
      </c>
      <c r="K5" s="70" t="s">
        <v>121</v>
      </c>
      <c r="L5" s="71" t="str">
        <f>IFERROR(_xlfn.XLOOKUP(TeamData[[#This Row],[Move1]],MoveData[Move],MoveData[Type]),"")</f>
        <v>Dark</v>
      </c>
      <c r="M5" s="72">
        <f>IFERROR(_xlfn.XLOOKUP(TeamData[[#This Row],[Move1]],MoveData[Move],MoveData[Power]),"")</f>
        <v>80</v>
      </c>
      <c r="N5" s="71" t="str">
        <f>IFERROR(_xlfn.XLOOKUP(TeamData[[#This Row],[Move1]],MoveData[Move],MoveData[Category]),"")</f>
        <v>Physical</v>
      </c>
      <c r="O5" s="73">
        <f>IFERROR(_xlfn.XLOOKUP(TeamData[[#This Row],[Move1]],MoveData[Move],MoveData[Accuracy]),"")</f>
        <v>100</v>
      </c>
      <c r="P5" s="70" t="s">
        <v>223</v>
      </c>
      <c r="Q5" s="71" t="str">
        <f>IFERROR(_xlfn.XLOOKUP(TeamData[[#This Row],[Move2]],MoveData[Move],MoveData[Type]),"")</f>
        <v>Dark</v>
      </c>
      <c r="R5" s="72">
        <f>IFERROR(_xlfn.XLOOKUP(TeamData[[#This Row],[Move2]],MoveData[Move],MoveData[Power]),"")</f>
        <v>80</v>
      </c>
      <c r="S5" s="71" t="str">
        <f>IFERROR(_xlfn.XLOOKUP(TeamData[[#This Row],[Move2]],MoveData[Move],MoveData[Category]),"")</f>
        <v>Special</v>
      </c>
      <c r="T5" s="73">
        <f>IFERROR(_xlfn.XLOOKUP(TeamData[[#This Row],[Move2]],MoveData[Move],MoveData[Accuracy]),"")</f>
        <v>100</v>
      </c>
      <c r="U5" s="70" t="s">
        <v>150</v>
      </c>
      <c r="V5" s="71" t="str">
        <f>IFERROR(_xlfn.XLOOKUP(TeamData[[#This Row],[Move3]],MoveData[Move],MoveData[Type]),"")</f>
        <v>Dark</v>
      </c>
      <c r="W5" s="72">
        <f>IFERROR(_xlfn.XLOOKUP(TeamData[[#This Row],[Move3]],MoveData[Move],MoveData[Power]),"")</f>
        <v>60</v>
      </c>
      <c r="X5" s="71" t="str">
        <f>IFERROR(_xlfn.XLOOKUP(TeamData[[#This Row],[Move3]],MoveData[Move],MoveData[Category]),"")</f>
        <v>Physical</v>
      </c>
      <c r="Y5" s="73">
        <f>IFERROR(_xlfn.XLOOKUP(TeamData[[#This Row],[Move3]],MoveData[Move],MoveData[Accuracy]),"")</f>
        <v>100</v>
      </c>
      <c r="Z5" s="70" t="s">
        <v>277</v>
      </c>
      <c r="AA5" s="71" t="str">
        <f>IFERROR(_xlfn.XLOOKUP(TeamData[[#This Row],[Move4]],MoveData[Move],MoveData[Type]),"")</f>
        <v>Normal</v>
      </c>
      <c r="AB5" s="72">
        <f>IFERROR(_xlfn.XLOOKUP(TeamData[[#This Row],[Move4]],MoveData[Move],MoveData[Power]),"")</f>
        <v>40</v>
      </c>
      <c r="AC5" s="71" t="str">
        <f>IFERROR(_xlfn.XLOOKUP(TeamData[[#This Row],[Move4]],MoveData[Move],MoveData[Category]),"")</f>
        <v>Physical</v>
      </c>
      <c r="AD5" s="73">
        <f>IFERROR(_xlfn.XLOOKUP(TeamData[[#This Row],[Move4]],MoveData[Move],MoveData[Accuracy]),"")</f>
        <v>100</v>
      </c>
      <c r="AE5" s="70" t="s">
        <v>875</v>
      </c>
      <c r="AF5" s="70" t="s">
        <v>1294</v>
      </c>
      <c r="AG5" s="19">
        <f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_xlpm.statAffected="DEF")), _xlpm.multiplier, 1),
    TeamData[[#This Row],[DEF]] * _xlpm.finalMult
)</f>
        <v>76</v>
      </c>
      <c r="AH5" s="19">
        <f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_xlpm.statAffected="SPD")), _xlpm.multiplier, 1),
    TeamData[[#This Row],[SPD]] * _xlpm.finalMult
)</f>
        <v>72</v>
      </c>
    </row>
    <row r="6" spans="1:34" ht="16.5">
      <c r="A6" s="70" t="s">
        <v>1366</v>
      </c>
      <c r="B6" s="70" t="s">
        <v>43</v>
      </c>
      <c r="C6" s="70" t="s">
        <v>53</v>
      </c>
      <c r="D6" s="70">
        <v>57</v>
      </c>
      <c r="E6" s="70">
        <v>153</v>
      </c>
      <c r="F6" s="70">
        <v>121</v>
      </c>
      <c r="G6" s="70">
        <v>92</v>
      </c>
      <c r="H6" s="70">
        <v>149</v>
      </c>
      <c r="I6" s="70">
        <v>147</v>
      </c>
      <c r="J6" s="70">
        <v>132</v>
      </c>
      <c r="K6" s="70" t="s">
        <v>736</v>
      </c>
      <c r="L6" s="71" t="str">
        <f>IFERROR(_xlfn.XLOOKUP(TeamData[[#This Row],[Move1]],MoveData[Move],MoveData[Type]),"")</f>
        <v>Poison</v>
      </c>
      <c r="M6" s="72">
        <f>IFERROR(_xlfn.XLOOKUP(TeamData[[#This Row],[Move1]],MoveData[Move],MoveData[Power]),"")</f>
        <v>0</v>
      </c>
      <c r="N6" s="71" t="str">
        <f>IFERROR(_xlfn.XLOOKUP(TeamData[[#This Row],[Move1]],MoveData[Move],MoveData[Category]),"")</f>
        <v>Status</v>
      </c>
      <c r="O6" s="73">
        <f>IFERROR(_xlfn.XLOOKUP(TeamData[[#This Row],[Move1]],MoveData[Move],MoveData[Accuracy]),"")</f>
        <v>90</v>
      </c>
      <c r="P6" s="70" t="s">
        <v>1152</v>
      </c>
      <c r="Q6" s="71" t="str">
        <f>IFERROR(_xlfn.XLOOKUP(TeamData[[#This Row],[Move2]],MoveData[Move],MoveData[Type]),"")</f>
        <v>Grass</v>
      </c>
      <c r="R6" s="72">
        <f>IFERROR(_xlfn.XLOOKUP(TeamData[[#This Row],[Move2]],MoveData[Move],MoveData[Power]),"")</f>
        <v>0</v>
      </c>
      <c r="S6" s="71" t="str">
        <f>IFERROR(_xlfn.XLOOKUP(TeamData[[#This Row],[Move2]],MoveData[Move],MoveData[Category]),"")</f>
        <v>Status</v>
      </c>
      <c r="T6" s="73">
        <f>IFERROR(_xlfn.XLOOKUP(TeamData[[#This Row],[Move2]],MoveData[Move],MoveData[Accuracy]),"")</f>
        <v>75</v>
      </c>
      <c r="U6" s="70" t="s">
        <v>324</v>
      </c>
      <c r="V6" s="71" t="str">
        <f>IFERROR(_xlfn.XLOOKUP(TeamData[[#This Row],[Move3]],MoveData[Move],MoveData[Type]),"")</f>
        <v>Grass</v>
      </c>
      <c r="W6" s="72">
        <f>IFERROR(_xlfn.XLOOKUP(TeamData[[#This Row],[Move3]],MoveData[Move],MoveData[Power]),"")</f>
        <v>75</v>
      </c>
      <c r="X6" s="71" t="str">
        <f>IFERROR(_xlfn.XLOOKUP(TeamData[[#This Row],[Move3]],MoveData[Move],MoveData[Category]),"")</f>
        <v>Special</v>
      </c>
      <c r="Y6" s="73">
        <f>IFERROR(_xlfn.XLOOKUP(TeamData[[#This Row],[Move3]],MoveData[Move],MoveData[Accuracy]),"")</f>
        <v>100</v>
      </c>
      <c r="Z6" s="70" t="s">
        <v>267</v>
      </c>
      <c r="AA6" s="71" t="str">
        <f>IFERROR(_xlfn.XLOOKUP(TeamData[[#This Row],[Move4]],MoveData[Move],MoveData[Type]),"")</f>
        <v>Grass</v>
      </c>
      <c r="AB6" s="72">
        <f>IFERROR(_xlfn.XLOOKUP(TeamData[[#This Row],[Move4]],MoveData[Move],MoveData[Power]),"")</f>
        <v>90</v>
      </c>
      <c r="AC6" s="71" t="str">
        <f>IFERROR(_xlfn.XLOOKUP(TeamData[[#This Row],[Move4]],MoveData[Move],MoveData[Category]),"")</f>
        <v>Special</v>
      </c>
      <c r="AD6" s="73">
        <f>IFERROR(_xlfn.XLOOKUP(TeamData[[#This Row],[Move4]],MoveData[Move],MoveData[Accuracy]),"")</f>
        <v>100</v>
      </c>
      <c r="AE6" s="70" t="s">
        <v>1275</v>
      </c>
      <c r="AF6" s="70" t="s">
        <v>1375</v>
      </c>
      <c r="AG6" s="19">
        <f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_xlpm.statAffected="DEF")), _xlpm.multiplier, 1),
    TeamData[[#This Row],[DEF]] * _xlpm.finalMult
)</f>
        <v>92</v>
      </c>
      <c r="AH6" s="19">
        <f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_xlpm.statAffected="SPD")), _xlpm.multiplier, 1),
    TeamData[[#This Row],[SPD]] * _xlpm.finalMult
)</f>
        <v>147</v>
      </c>
    </row>
    <row r="7" spans="1:34" ht="16.5">
      <c r="A7" s="70" t="s">
        <v>1291</v>
      </c>
      <c r="B7" s="70" t="s">
        <v>44</v>
      </c>
      <c r="C7" s="70"/>
      <c r="D7" s="70">
        <v>57</v>
      </c>
      <c r="E7" s="70">
        <v>198</v>
      </c>
      <c r="F7" s="70">
        <v>116</v>
      </c>
      <c r="G7" s="70">
        <v>102</v>
      </c>
      <c r="H7" s="70">
        <v>135</v>
      </c>
      <c r="I7" s="70">
        <v>173</v>
      </c>
      <c r="J7" s="70">
        <v>106</v>
      </c>
      <c r="K7" s="70" t="s">
        <v>464</v>
      </c>
      <c r="L7" s="71" t="str">
        <f>IFERROR(_xlfn.XLOOKUP(TeamData[[#This Row],[Move1]],MoveData[Move],MoveData[Type]),"")</f>
        <v>Fairy</v>
      </c>
      <c r="M7" s="72">
        <f>IFERROR(_xlfn.XLOOKUP(TeamData[[#This Row],[Move1]],MoveData[Move],MoveData[Power]),"")</f>
        <v>90</v>
      </c>
      <c r="N7" s="71" t="str">
        <f>IFERROR(_xlfn.XLOOKUP(TeamData[[#This Row],[Move1]],MoveData[Move],MoveData[Category]),"")</f>
        <v>Physical</v>
      </c>
      <c r="O7" s="73">
        <f>IFERROR(_xlfn.XLOOKUP(TeamData[[#This Row],[Move1]],MoveData[Move],MoveData[Accuracy]),"")</f>
        <v>90</v>
      </c>
      <c r="P7" s="70" t="s">
        <v>430</v>
      </c>
      <c r="Q7" s="71" t="str">
        <f>IFERROR(_xlfn.XLOOKUP(TeamData[[#This Row],[Move2]],MoveData[Move],MoveData[Type]),"")</f>
        <v>Fairy</v>
      </c>
      <c r="R7" s="72">
        <f>IFERROR(_xlfn.XLOOKUP(TeamData[[#This Row],[Move2]],MoveData[Move],MoveData[Power]),"")</f>
        <v>95</v>
      </c>
      <c r="S7" s="71" t="str">
        <f>IFERROR(_xlfn.XLOOKUP(TeamData[[#This Row],[Move2]],MoveData[Move],MoveData[Category]),"")</f>
        <v>Special</v>
      </c>
      <c r="T7" s="73">
        <f>IFERROR(_xlfn.XLOOKUP(TeamData[[#This Row],[Move2]],MoveData[Move],MoveData[Accuracy]),"")</f>
        <v>100</v>
      </c>
      <c r="U7" s="70" t="s">
        <v>250</v>
      </c>
      <c r="V7" s="71" t="str">
        <f>IFERROR(_xlfn.XLOOKUP(TeamData[[#This Row],[Move3]],MoveData[Move],MoveData[Type]),"")</f>
        <v>Fairy</v>
      </c>
      <c r="W7" s="72">
        <f>IFERROR(_xlfn.XLOOKUP(TeamData[[#This Row],[Move3]],MoveData[Move],MoveData[Power]),"")</f>
        <v>50</v>
      </c>
      <c r="X7" s="71" t="str">
        <f>IFERROR(_xlfn.XLOOKUP(TeamData[[#This Row],[Move3]],MoveData[Move],MoveData[Category]),"")</f>
        <v>Special</v>
      </c>
      <c r="Y7" s="73">
        <f>IFERROR(_xlfn.XLOOKUP(TeamData[[#This Row],[Move3]],MoveData[Move],MoveData[Accuracy]),"")</f>
        <v>100</v>
      </c>
      <c r="Z7" s="70" t="s">
        <v>486</v>
      </c>
      <c r="AA7" s="71" t="str">
        <f>IFERROR(_xlfn.XLOOKUP(TeamData[[#This Row],[Move4]],MoveData[Move],MoveData[Type]),"")</f>
        <v>Psychic</v>
      </c>
      <c r="AB7" s="72">
        <f>IFERROR(_xlfn.XLOOKUP(TeamData[[#This Row],[Move4]],MoveData[Move],MoveData[Power]),"")</f>
        <v>80</v>
      </c>
      <c r="AC7" s="71" t="str">
        <f>IFERROR(_xlfn.XLOOKUP(TeamData[[#This Row],[Move4]],MoveData[Move],MoveData[Category]),"")</f>
        <v>Special</v>
      </c>
      <c r="AD7" s="73">
        <f>IFERROR(_xlfn.XLOOKUP(TeamData[[#This Row],[Move4]],MoveData[Move],MoveData[Accuracy]),"")</f>
        <v>100</v>
      </c>
      <c r="AE7" s="70" t="s">
        <v>1292</v>
      </c>
      <c r="AF7" s="70" t="s">
        <v>1355</v>
      </c>
      <c r="AG7" s="19">
        <f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_xlpm.statAffected="DEF")), _xlpm.multiplier, 1),
    TeamData[[#This Row],[DEF]] * _xlpm.finalMult
)</f>
        <v>102</v>
      </c>
      <c r="AH7" s="19">
        <f>_xlfn.LET(
    _xlpm.item, TeamData[[#This Row],[Held Item]],
    _xlpm.effectType, _xlfn.XLOOKUP(_xlpm.item, Items[Item], Items[EffectType], "None"),
    _xlpm.statAffected, _xlfn.XLOOKUP(_xlpm.item, Items[Item], Items[StatAffected], "None"),
    _xlpm.multiplier, _xlfn.XLOOKUP(_xlpm.item, Items[Item], Items[Multiplier], 1),
    _xlpm.finalMult, IF(AND(_xlpm.effectType="StatMultiplier", OR(_xlpm.statAffected="DEF/SPD", _xlpm.statAffected="SPD")), _xlpm.multiplier, 1),
    TeamData[[#This Row],[SPD]] * _xlpm.finalMult
)</f>
        <v>173</v>
      </c>
    </row>
    <row r="8" spans="1:34">
      <c r="N8" s="2"/>
      <c r="S8" s="2"/>
      <c r="X8" s="2"/>
      <c r="AC8" s="2"/>
    </row>
    <row r="9" spans="1:34">
      <c r="N9" s="2"/>
      <c r="S9" s="2"/>
      <c r="X9" s="2"/>
      <c r="AC9" s="2"/>
    </row>
    <row r="10" spans="1:34">
      <c r="N10" s="2"/>
      <c r="S10" s="2"/>
      <c r="X10" s="2"/>
      <c r="AC10" s="2"/>
    </row>
    <row r="11" spans="1:34">
      <c r="N11" s="2"/>
      <c r="S11" s="2"/>
      <c r="X11" s="2"/>
      <c r="AC11" s="2"/>
    </row>
    <row r="12" spans="1:34">
      <c r="N12" s="2"/>
      <c r="S12" s="2"/>
      <c r="X12" s="2"/>
      <c r="AC12" s="2"/>
    </row>
    <row r="13" spans="1:34">
      <c r="N13" s="2"/>
      <c r="S13" s="2"/>
      <c r="X13" s="2"/>
      <c r="AC13" s="2"/>
    </row>
    <row r="14" spans="1:34">
      <c r="N14" s="2"/>
      <c r="S14" s="2"/>
      <c r="X14" s="2"/>
      <c r="AC14" s="2"/>
    </row>
    <row r="15" spans="1:34">
      <c r="N15" s="2"/>
      <c r="S15" s="2"/>
      <c r="X15" s="2"/>
      <c r="AC15" s="2"/>
    </row>
    <row r="16" spans="1:34">
      <c r="N16" s="2"/>
      <c r="S16" s="2"/>
      <c r="X16" s="2"/>
      <c r="AC16" s="2"/>
    </row>
    <row r="17" spans="14:29">
      <c r="N17" s="2"/>
      <c r="S17" s="2"/>
      <c r="X17" s="2"/>
      <c r="AC17" s="2"/>
    </row>
    <row r="18" spans="14:29">
      <c r="N18" s="2"/>
      <c r="S18" s="2"/>
      <c r="X18" s="2"/>
      <c r="AC18" s="2"/>
    </row>
    <row r="19" spans="14:29">
      <c r="N19" s="2"/>
      <c r="S19" s="2"/>
      <c r="X19" s="2"/>
      <c r="AC19" s="2"/>
    </row>
    <row r="20" spans="14:29">
      <c r="N20" s="2"/>
      <c r="S20" s="2"/>
      <c r="X20" s="2"/>
      <c r="AC20" s="2"/>
    </row>
    <row r="21" spans="14:29">
      <c r="N21" s="2"/>
      <c r="S21" s="2"/>
      <c r="X21" s="2"/>
      <c r="AC21" s="2"/>
    </row>
    <row r="22" spans="14:29">
      <c r="N22" s="2"/>
      <c r="S22" s="2"/>
      <c r="X22" s="2"/>
      <c r="AC22" s="2"/>
    </row>
    <row r="23" spans="14:29">
      <c r="N23" s="2"/>
      <c r="S23" s="2"/>
      <c r="X23" s="2"/>
      <c r="AC23" s="2"/>
    </row>
    <row r="24" spans="14:29">
      <c r="N24" s="2"/>
      <c r="S24" s="2"/>
      <c r="X24" s="2"/>
      <c r="AC24" s="2"/>
    </row>
    <row r="25" spans="14:29">
      <c r="N25" s="2"/>
      <c r="S25" s="2"/>
      <c r="X25" s="2"/>
      <c r="AC25" s="2"/>
    </row>
    <row r="26" spans="14:29">
      <c r="N26" s="2"/>
      <c r="S26" s="2"/>
      <c r="X26" s="2"/>
      <c r="AC26" s="2"/>
    </row>
    <row r="27" spans="14:29">
      <c r="N27" s="2"/>
      <c r="S27" s="2"/>
      <c r="X27" s="2"/>
      <c r="AC27" s="2"/>
    </row>
    <row r="28" spans="14:29">
      <c r="N28" s="2"/>
      <c r="S28" s="2"/>
      <c r="X28" s="2"/>
      <c r="AC28" s="2"/>
    </row>
    <row r="29" spans="14:29">
      <c r="N29" s="2"/>
      <c r="S29" s="2"/>
      <c r="X29" s="2"/>
      <c r="AC29" s="2"/>
    </row>
    <row r="30" spans="14:29">
      <c r="N30" s="2"/>
      <c r="S30" s="2"/>
      <c r="X30" s="2"/>
      <c r="AC30" s="2"/>
    </row>
    <row r="31" spans="14:29">
      <c r="N31" s="2"/>
      <c r="S31" s="2"/>
      <c r="X31" s="2"/>
      <c r="AC31" s="2"/>
    </row>
    <row r="32" spans="14:29">
      <c r="N32" s="2"/>
      <c r="S32" s="2"/>
      <c r="X32" s="2"/>
      <c r="AC32" s="2"/>
    </row>
    <row r="33" spans="14:29">
      <c r="N33" s="2"/>
      <c r="S33" s="2"/>
      <c r="X33" s="2"/>
      <c r="AC33" s="2"/>
    </row>
    <row r="34" spans="14:29">
      <c r="N34" s="2"/>
      <c r="S34" s="2"/>
      <c r="X34" s="2"/>
      <c r="AC34" s="2"/>
    </row>
    <row r="35" spans="14:29">
      <c r="N35" s="2"/>
      <c r="S35" s="2"/>
      <c r="X35" s="2"/>
      <c r="AC35" s="2"/>
    </row>
    <row r="36" spans="14:29">
      <c r="N36" s="2"/>
      <c r="S36" s="2"/>
      <c r="X36" s="2"/>
      <c r="AC36" s="2"/>
    </row>
    <row r="37" spans="14:29">
      <c r="N37" s="2"/>
      <c r="S37" s="2"/>
      <c r="X37" s="2"/>
      <c r="AC37" s="2"/>
    </row>
    <row r="38" spans="14:29">
      <c r="N38" s="2"/>
      <c r="S38" s="2"/>
      <c r="X38" s="2"/>
      <c r="AC38" s="2"/>
    </row>
    <row r="39" spans="14:29">
      <c r="N39" s="2"/>
      <c r="S39" s="2"/>
      <c r="X39" s="2"/>
      <c r="AC39" s="2"/>
    </row>
    <row r="40" spans="14:29">
      <c r="N40" s="2"/>
      <c r="S40" s="2"/>
      <c r="X40" s="2"/>
      <c r="AC40" s="2"/>
    </row>
    <row r="41" spans="14:29">
      <c r="N41" s="2"/>
      <c r="S41" s="2"/>
      <c r="X41" s="2"/>
      <c r="AC41" s="2"/>
    </row>
    <row r="42" spans="14:29">
      <c r="N42" s="2"/>
      <c r="S42" s="2"/>
      <c r="X42" s="2"/>
      <c r="AC42" s="2"/>
    </row>
    <row r="43" spans="14:29">
      <c r="N43" s="2"/>
      <c r="S43" s="2"/>
      <c r="X43" s="2"/>
      <c r="AC43" s="2"/>
    </row>
    <row r="44" spans="14:29">
      <c r="N44" s="2"/>
      <c r="S44" s="2"/>
      <c r="X44" s="2"/>
      <c r="AC44" s="2"/>
    </row>
    <row r="45" spans="14:29">
      <c r="N45" s="2"/>
      <c r="S45" s="2"/>
      <c r="X45" s="2"/>
      <c r="AC45" s="2"/>
    </row>
    <row r="46" spans="14:29">
      <c r="N46" s="2"/>
      <c r="S46" s="2"/>
      <c r="X46" s="2"/>
      <c r="AC46" s="2"/>
    </row>
    <row r="47" spans="14:29">
      <c r="N47" s="2"/>
      <c r="S47" s="2"/>
      <c r="X47" s="2"/>
      <c r="AC47" s="2"/>
    </row>
    <row r="48" spans="14:29">
      <c r="N48" s="2"/>
      <c r="S48" s="2"/>
      <c r="X48" s="2"/>
      <c r="AC48" s="2"/>
    </row>
    <row r="49" spans="14:29">
      <c r="N49" s="2"/>
      <c r="S49" s="2"/>
      <c r="X49" s="2"/>
      <c r="AC49" s="2"/>
    </row>
    <row r="50" spans="14:29">
      <c r="N50" s="2"/>
      <c r="S50" s="2"/>
      <c r="X50" s="2"/>
      <c r="AC50" s="2"/>
    </row>
    <row r="51" spans="14:29">
      <c r="N51" s="2"/>
      <c r="S51" s="2"/>
      <c r="X51" s="2"/>
      <c r="AC51" s="2"/>
    </row>
    <row r="52" spans="14:29">
      <c r="N52" s="2"/>
      <c r="S52" s="2"/>
      <c r="X52" s="2"/>
      <c r="AC52" s="2"/>
    </row>
    <row r="53" spans="14:29">
      <c r="N53" s="2"/>
      <c r="S53" s="2"/>
      <c r="X53" s="2"/>
      <c r="AC53" s="2"/>
    </row>
    <row r="54" spans="14:29">
      <c r="N54" s="2"/>
      <c r="S54" s="2"/>
      <c r="X54" s="2"/>
      <c r="AC54" s="2"/>
    </row>
    <row r="55" spans="14:29">
      <c r="N55" s="2"/>
      <c r="S55" s="2"/>
      <c r="X55" s="2"/>
      <c r="AC55" s="2"/>
    </row>
    <row r="56" spans="14:29">
      <c r="N56" s="2"/>
      <c r="S56" s="2"/>
      <c r="X56" s="2"/>
      <c r="AC56" s="2"/>
    </row>
    <row r="57" spans="14:29">
      <c r="N57" s="2"/>
      <c r="S57" s="2"/>
      <c r="X57" s="2"/>
      <c r="AC57" s="2"/>
    </row>
    <row r="58" spans="14:29">
      <c r="N58" s="2"/>
      <c r="S58" s="2"/>
      <c r="X58" s="2"/>
      <c r="AC58" s="2"/>
    </row>
    <row r="59" spans="14:29">
      <c r="N59" s="2"/>
      <c r="S59" s="2"/>
      <c r="X59" s="2"/>
      <c r="AC59" s="2"/>
    </row>
    <row r="60" spans="14:29">
      <c r="N60" s="2"/>
      <c r="S60" s="2"/>
      <c r="X60" s="2"/>
      <c r="AC60" s="2"/>
    </row>
    <row r="61" spans="14:29">
      <c r="N61" s="2"/>
      <c r="S61" s="2"/>
      <c r="X61" s="2"/>
      <c r="AC61" s="2"/>
    </row>
    <row r="62" spans="14:29">
      <c r="N62" s="2"/>
      <c r="S62" s="2"/>
      <c r="X62" s="2"/>
      <c r="AC62" s="2"/>
    </row>
    <row r="63" spans="14:29">
      <c r="N63" s="2"/>
      <c r="S63" s="2"/>
      <c r="X63" s="2"/>
      <c r="AC63" s="2"/>
    </row>
    <row r="64" spans="14:29">
      <c r="N64" s="2"/>
      <c r="S64" s="2"/>
      <c r="X64" s="2"/>
      <c r="AC64" s="2"/>
    </row>
    <row r="65" spans="14:29">
      <c r="N65" s="2"/>
      <c r="S65" s="2"/>
      <c r="X65" s="2"/>
      <c r="AC65" s="2"/>
    </row>
    <row r="66" spans="14:29">
      <c r="N66" s="2"/>
      <c r="S66" s="2"/>
      <c r="X66" s="2"/>
      <c r="AC66" s="2"/>
    </row>
    <row r="67" spans="14:29">
      <c r="N67" s="2"/>
      <c r="S67" s="2"/>
      <c r="X67" s="2"/>
      <c r="AC67" s="2"/>
    </row>
    <row r="68" spans="14:29">
      <c r="N68" s="2"/>
      <c r="S68" s="2"/>
      <c r="X68" s="2"/>
      <c r="AC68" s="2"/>
    </row>
    <row r="69" spans="14:29">
      <c r="N69" s="2"/>
      <c r="S69" s="2"/>
      <c r="X69" s="2"/>
      <c r="AC69" s="2"/>
    </row>
    <row r="70" spans="14:29">
      <c r="N70" s="2"/>
      <c r="S70" s="2"/>
      <c r="X70" s="2"/>
      <c r="AC70" s="2"/>
    </row>
    <row r="71" spans="14:29">
      <c r="N71" s="2"/>
      <c r="S71" s="2"/>
      <c r="X71" s="2"/>
      <c r="AC71" s="2"/>
    </row>
    <row r="72" spans="14:29">
      <c r="N72" s="2"/>
      <c r="S72" s="2"/>
      <c r="X72" s="2"/>
      <c r="AC72" s="2"/>
    </row>
    <row r="73" spans="14:29">
      <c r="N73" s="2"/>
      <c r="S73" s="2"/>
      <c r="X73" s="2"/>
      <c r="AC73" s="2"/>
    </row>
    <row r="74" spans="14:29">
      <c r="N74" s="2"/>
      <c r="S74" s="2"/>
      <c r="X74" s="2"/>
      <c r="AC74" s="2"/>
    </row>
    <row r="75" spans="14:29">
      <c r="N75" s="2"/>
      <c r="S75" s="2"/>
      <c r="X75" s="2"/>
      <c r="AC75" s="2"/>
    </row>
    <row r="76" spans="14:29">
      <c r="N76" s="2"/>
      <c r="S76" s="2"/>
      <c r="X76" s="2"/>
      <c r="AC76" s="2"/>
    </row>
    <row r="77" spans="14:29">
      <c r="N77" s="2"/>
      <c r="S77" s="2"/>
      <c r="X77" s="2"/>
      <c r="AC77" s="2"/>
    </row>
    <row r="78" spans="14:29">
      <c r="N78" s="2"/>
      <c r="S78" s="2"/>
      <c r="X78" s="2"/>
      <c r="AC78" s="2"/>
    </row>
    <row r="79" spans="14:29">
      <c r="N79" s="2"/>
      <c r="S79" s="2"/>
      <c r="X79" s="2"/>
      <c r="AC79" s="2"/>
    </row>
    <row r="80" spans="14:29">
      <c r="N80" s="2"/>
      <c r="S80" s="2"/>
      <c r="X80" s="2"/>
      <c r="AC80" s="2"/>
    </row>
    <row r="81" spans="14:29">
      <c r="N81" s="2"/>
      <c r="S81" s="2"/>
      <c r="X81" s="2"/>
      <c r="AC81" s="2"/>
    </row>
    <row r="82" spans="14:29">
      <c r="N82" s="2"/>
      <c r="S82" s="2"/>
      <c r="X82" s="2"/>
      <c r="AC82" s="2"/>
    </row>
    <row r="83" spans="14:29">
      <c r="N83" s="2"/>
      <c r="S83" s="2"/>
      <c r="X83" s="2"/>
      <c r="AC83" s="2"/>
    </row>
    <row r="84" spans="14:29">
      <c r="N84" s="2"/>
      <c r="S84" s="2"/>
      <c r="X84" s="2"/>
      <c r="AC84" s="2"/>
    </row>
    <row r="85" spans="14:29">
      <c r="N85" s="2"/>
      <c r="S85" s="2"/>
      <c r="X85" s="2"/>
      <c r="AC85" s="2"/>
    </row>
    <row r="86" spans="14:29">
      <c r="N86" s="2"/>
      <c r="S86" s="2"/>
      <c r="X86" s="2"/>
      <c r="AC86" s="2"/>
    </row>
    <row r="87" spans="14:29">
      <c r="N87" s="2"/>
      <c r="S87" s="2"/>
      <c r="X87" s="2"/>
      <c r="AC87" s="2"/>
    </row>
    <row r="88" spans="14:29">
      <c r="N88" s="2"/>
      <c r="S88" s="2"/>
      <c r="X88" s="2"/>
      <c r="AC88" s="2"/>
    </row>
    <row r="89" spans="14:29">
      <c r="N89" s="2"/>
      <c r="S89" s="2"/>
      <c r="X89" s="2"/>
      <c r="AC89" s="2"/>
    </row>
    <row r="90" spans="14:29">
      <c r="N90" s="2"/>
      <c r="S90" s="2"/>
      <c r="X90" s="2"/>
      <c r="AC90" s="2"/>
    </row>
    <row r="91" spans="14:29">
      <c r="N91" s="2"/>
      <c r="S91" s="2"/>
      <c r="X91" s="2"/>
      <c r="AC91" s="2"/>
    </row>
    <row r="92" spans="14:29">
      <c r="N92" s="2"/>
      <c r="S92" s="2"/>
      <c r="X92" s="2"/>
      <c r="AC92" s="2"/>
    </row>
    <row r="93" spans="14:29">
      <c r="N93" s="2"/>
      <c r="S93" s="2"/>
      <c r="X93" s="2"/>
      <c r="AC93" s="2"/>
    </row>
    <row r="94" spans="14:29">
      <c r="N94" s="2"/>
      <c r="S94" s="2"/>
      <c r="X94" s="2"/>
      <c r="AC94" s="2"/>
    </row>
    <row r="95" spans="14:29">
      <c r="N95" s="2"/>
      <c r="S95" s="2"/>
      <c r="X95" s="2"/>
      <c r="AC95" s="2"/>
    </row>
    <row r="96" spans="14:29">
      <c r="N96" s="2"/>
      <c r="S96" s="2"/>
      <c r="X96" s="2"/>
      <c r="AC96" s="2"/>
    </row>
    <row r="97" spans="14:29">
      <c r="N97" s="2"/>
      <c r="S97" s="2"/>
      <c r="X97" s="2"/>
      <c r="AC97" s="2"/>
    </row>
    <row r="98" spans="14:29">
      <c r="N98" s="2"/>
      <c r="S98" s="2"/>
      <c r="X98" s="2"/>
      <c r="AC98" s="2"/>
    </row>
    <row r="99" spans="14:29">
      <c r="N99" s="2"/>
      <c r="S99" s="2"/>
      <c r="X99" s="2"/>
      <c r="AC99" s="2"/>
    </row>
    <row r="100" spans="14:29">
      <c r="N100" s="2"/>
      <c r="S100" s="2"/>
      <c r="X100" s="2"/>
      <c r="AC100" s="2"/>
    </row>
  </sheetData>
  <sheetProtection autoFilter="0"/>
  <phoneticPr fontId="2" type="noConversion"/>
  <conditionalFormatting sqref="A2:A7">
    <cfRule type="expression" dxfId="196" priority="1">
      <formula>AND($A2&lt;&gt;"",$B2="Normal")</formula>
    </cfRule>
    <cfRule type="expression" dxfId="195" priority="4">
      <formula>AND($A2&lt;&gt;"",$B2="Fire")</formula>
    </cfRule>
    <cfRule type="expression" dxfId="194" priority="7">
      <formula>AND($A2&lt;&gt;"",$B2="Water")</formula>
    </cfRule>
    <cfRule type="expression" dxfId="193" priority="10">
      <formula>AND($A2&lt;&gt;"",$B2="Electric")</formula>
    </cfRule>
    <cfRule type="expression" dxfId="192" priority="13">
      <formula>AND($A2&lt;&gt;"",$B2="Grass")</formula>
    </cfRule>
    <cfRule type="expression" dxfId="191" priority="16">
      <formula>AND($A2&lt;&gt;"",$B2="Ice")</formula>
    </cfRule>
    <cfRule type="expression" dxfId="190" priority="19">
      <formula>AND($A2&lt;&gt;"",$B2="Fighting")</formula>
    </cfRule>
    <cfRule type="expression" dxfId="189" priority="22">
      <formula>AND($A2&lt;&gt;"",$B2="Poison")</formula>
    </cfRule>
    <cfRule type="expression" dxfId="188" priority="25">
      <formula>AND($A2&lt;&gt;"",$B2="Ground")</formula>
    </cfRule>
    <cfRule type="expression" dxfId="187" priority="28">
      <formula>AND($A2&lt;&gt;"",$B2="Flying")</formula>
    </cfRule>
    <cfRule type="expression" dxfId="186" priority="31">
      <formula>AND($A2&lt;&gt;"",$B2="Psychic")</formula>
    </cfRule>
    <cfRule type="expression" dxfId="185" priority="34">
      <formula>AND($A2&lt;&gt;"",$B2="Bug")</formula>
    </cfRule>
    <cfRule type="expression" dxfId="184" priority="37">
      <formula>AND($A2&lt;&gt;"",$B2="Rock")</formula>
    </cfRule>
    <cfRule type="expression" dxfId="183" priority="40">
      <formula>AND($A2&lt;&gt;"",$B2="Ghost")</formula>
    </cfRule>
    <cfRule type="expression" dxfId="182" priority="43">
      <formula>AND($A2&lt;&gt;"",$B2="Dragon")</formula>
    </cfRule>
    <cfRule type="expression" dxfId="181" priority="46">
      <formula>AND($A2&lt;&gt;"",$B2="Dark")</formula>
    </cfRule>
    <cfRule type="expression" dxfId="180" priority="49">
      <formula>AND($A2&lt;&gt;"",$B2="Steel")</formula>
    </cfRule>
    <cfRule type="expression" dxfId="179" priority="52">
      <formula>AND($A2&lt;&gt;"",$B2="Fairy")</formula>
    </cfRule>
  </conditionalFormatting>
  <conditionalFormatting sqref="B2:B7">
    <cfRule type="expression" dxfId="178" priority="2">
      <formula>$B2="Normal"</formula>
    </cfRule>
    <cfRule type="expression" dxfId="177" priority="5">
      <formula>$B2="Fire"</formula>
    </cfRule>
    <cfRule type="expression" dxfId="176" priority="8">
      <formula>$B2="Water"</formula>
    </cfRule>
    <cfRule type="expression" dxfId="175" priority="11">
      <formula>$B2="Electric"</formula>
    </cfRule>
    <cfRule type="expression" dxfId="174" priority="14">
      <formula>$B2="Grass"</formula>
    </cfRule>
    <cfRule type="expression" dxfId="173" priority="17">
      <formula>$B2="Ice"</formula>
    </cfRule>
    <cfRule type="expression" dxfId="172" priority="20">
      <formula>$B2="Fighting"</formula>
    </cfRule>
    <cfRule type="expression" dxfId="171" priority="23">
      <formula>$B2="Poison"</formula>
    </cfRule>
    <cfRule type="expression" dxfId="170" priority="26">
      <formula>$B2="Ground"</formula>
    </cfRule>
    <cfRule type="expression" dxfId="169" priority="29">
      <formula>$B2="Flying"</formula>
    </cfRule>
    <cfRule type="expression" dxfId="168" priority="32">
      <formula>$B2="Psychic"</formula>
    </cfRule>
    <cfRule type="expression" dxfId="167" priority="35">
      <formula>$B2="Bug"</formula>
    </cfRule>
    <cfRule type="expression" dxfId="166" priority="38">
      <formula>$B2="Rock"</formula>
    </cfRule>
    <cfRule type="expression" dxfId="165" priority="41">
      <formula>$B2="Ghost"</formula>
    </cfRule>
    <cfRule type="expression" dxfId="164" priority="44">
      <formula>$B2="Dragon"</formula>
    </cfRule>
    <cfRule type="expression" dxfId="163" priority="47">
      <formula>$B2="Dark"</formula>
    </cfRule>
    <cfRule type="expression" dxfId="162" priority="50">
      <formula>$B2="Steel"</formula>
    </cfRule>
    <cfRule type="expression" dxfId="161" priority="53">
      <formula>$B2="Fairy"</formula>
    </cfRule>
  </conditionalFormatting>
  <conditionalFormatting sqref="C2:C7">
    <cfRule type="expression" dxfId="160" priority="56">
      <formula>$C2="Normal"</formula>
    </cfRule>
    <cfRule type="expression" dxfId="159" priority="57">
      <formula>$C2="Fire"</formula>
    </cfRule>
    <cfRule type="expression" dxfId="158" priority="58">
      <formula>$C2="Water"</formula>
    </cfRule>
    <cfRule type="expression" dxfId="157" priority="59">
      <formula>$C2="Electric"</formula>
    </cfRule>
    <cfRule type="expression" dxfId="156" priority="60">
      <formula>$C2="Grass"</formula>
    </cfRule>
    <cfRule type="expression" dxfId="155" priority="61">
      <formula>$C2="Ice"</formula>
    </cfRule>
    <cfRule type="expression" dxfId="154" priority="62">
      <formula>$C2="Fighting"</formula>
    </cfRule>
    <cfRule type="expression" dxfId="153" priority="63">
      <formula>$C2="Poison"</formula>
    </cfRule>
    <cfRule type="expression" dxfId="152" priority="64">
      <formula>$C2="Ground"</formula>
    </cfRule>
    <cfRule type="expression" dxfId="151" priority="65">
      <formula>$C2="Flying"</formula>
    </cfRule>
    <cfRule type="expression" dxfId="150" priority="66">
      <formula>$C2="Psychic"</formula>
    </cfRule>
    <cfRule type="expression" dxfId="149" priority="67">
      <formula>$C2="Bug"</formula>
    </cfRule>
    <cfRule type="expression" dxfId="148" priority="68">
      <formula>$C2="Rock"</formula>
    </cfRule>
    <cfRule type="expression" dxfId="147" priority="69">
      <formula>$C2="Ghost"</formula>
    </cfRule>
    <cfRule type="expression" dxfId="146" priority="70">
      <formula>$C2="Dragon"</formula>
    </cfRule>
    <cfRule type="expression" dxfId="145" priority="71">
      <formula>$C2="Dark"</formula>
    </cfRule>
    <cfRule type="expression" dxfId="144" priority="72">
      <formula>$C2="Steel"</formula>
    </cfRule>
    <cfRule type="expression" dxfId="143" priority="73">
      <formula>$C2="Fairy"</formula>
    </cfRule>
  </conditionalFormatting>
  <conditionalFormatting sqref="E2:J7">
    <cfRule type="dataBar" priority="55">
      <dataBar>
        <cfvo type="num" val="0"/>
        <cfvo type="num" val="300"/>
        <color rgb="FF638EC6"/>
      </dataBar>
      <extLst>
        <ext xmlns:x14="http://schemas.microsoft.com/office/spreadsheetml/2009/9/main" uri="{B025F937-C7B1-47D3-B67F-A62EFF666E3E}">
          <x14:id>{897AFD30-9CAC-4E7D-A1D0-3FBC7C6A739C}</x14:id>
        </ext>
      </extLst>
    </cfRule>
  </conditionalFormatting>
  <dataValidations count="3">
    <dataValidation type="list" allowBlank="1" showInputMessage="1" showErrorMessage="1" sqref="J8:J100 O8:O100 T8:T100 Y8:Y100" xr:uid="{2D3320CA-CE59-4B89-9735-1248840631E7}">
      <formula1>INDIRECT("MoveData[Move]")</formula1>
    </dataValidation>
    <dataValidation type="list" allowBlank="1" showInputMessage="1" showErrorMessage="1" sqref="B2:C7" xr:uid="{71070DE2-4CBC-4300-9A12-5C892B1B17B0}">
      <formula1>"Normal,Fire,Water,Electric,Grass,Ice,Fighting,Poison,Ground,Flying,Psychic,Bug,Rock,Ghost,Dragon,Dark,Steel,Fairy"</formula1>
    </dataValidation>
    <dataValidation type="list" allowBlank="1" showInputMessage="1" sqref="K2:K7 P2:P7 Z2:Z7 U2:U7" xr:uid="{B8CE60D7-0408-4BF6-AA7B-CA1167595F44}">
      <formula1>INDIRECT("MoveData[Move]")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7AFD30-9CAC-4E7D-A1D0-3FBC7C6A739C}">
            <x14:dataBar minLength="0" maxLength="100" border="1" direction="leftToRight" negativeBarColorSameAsPositive="1" axisPosition="none">
              <x14:cfvo type="num">
                <xm:f>0</xm:f>
              </x14:cfvo>
              <x14:cfvo type="num">
                <xm:f>300</xm:f>
              </x14:cfvo>
              <x14:borderColor rgb="FF638EC6"/>
            </x14:dataBar>
          </x14:cfRule>
          <xm:sqref>E2:J7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2E7C-5B4E-46C4-A259-A55326DCA26B}">
  <dimension ref="A1:E31"/>
  <sheetViews>
    <sheetView workbookViewId="0">
      <selection activeCell="D27" sqref="D27"/>
    </sheetView>
  </sheetViews>
  <sheetFormatPr defaultRowHeight="15"/>
  <cols>
    <col min="1" max="1" width="12.85546875" bestFit="1" customWidth="1"/>
    <col min="2" max="2" width="15.42578125" bestFit="1" customWidth="1"/>
    <col min="3" max="3" width="13.28515625" bestFit="1" customWidth="1"/>
    <col min="4" max="4" width="10.85546875" bestFit="1" customWidth="1"/>
    <col min="5" max="5" width="94" bestFit="1" customWidth="1"/>
  </cols>
  <sheetData>
    <row r="1" spans="1:5">
      <c r="A1" s="4" t="s">
        <v>828</v>
      </c>
      <c r="B1" s="4" t="s">
        <v>893</v>
      </c>
      <c r="C1" s="4" t="s">
        <v>894</v>
      </c>
      <c r="D1" s="4" t="s">
        <v>895</v>
      </c>
      <c r="E1" s="4" t="s">
        <v>69</v>
      </c>
    </row>
    <row r="2" spans="1:5">
      <c r="A2" t="s">
        <v>860</v>
      </c>
      <c r="B2" t="s">
        <v>889</v>
      </c>
      <c r="C2" t="s">
        <v>23</v>
      </c>
      <c r="D2">
        <v>0</v>
      </c>
      <c r="E2" t="s">
        <v>896</v>
      </c>
    </row>
    <row r="3" spans="1:5">
      <c r="A3" t="s">
        <v>844</v>
      </c>
      <c r="B3" t="s">
        <v>889</v>
      </c>
      <c r="C3" t="s">
        <v>19</v>
      </c>
      <c r="D3">
        <v>0</v>
      </c>
      <c r="E3" t="s">
        <v>897</v>
      </c>
    </row>
    <row r="4" spans="1:5">
      <c r="A4" t="s">
        <v>898</v>
      </c>
      <c r="B4" t="s">
        <v>889</v>
      </c>
      <c r="C4" t="s">
        <v>34</v>
      </c>
      <c r="D4">
        <v>0</v>
      </c>
      <c r="E4" t="s">
        <v>899</v>
      </c>
    </row>
    <row r="5" spans="1:5">
      <c r="A5" t="s">
        <v>900</v>
      </c>
      <c r="B5" t="s">
        <v>889</v>
      </c>
      <c r="C5" t="s">
        <v>41</v>
      </c>
      <c r="D5">
        <v>0</v>
      </c>
      <c r="E5" t="s">
        <v>901</v>
      </c>
    </row>
    <row r="6" spans="1:5">
      <c r="A6" t="s">
        <v>888</v>
      </c>
      <c r="B6" t="s">
        <v>889</v>
      </c>
      <c r="C6" t="s">
        <v>41</v>
      </c>
      <c r="D6">
        <v>0</v>
      </c>
      <c r="E6" t="s">
        <v>901</v>
      </c>
    </row>
    <row r="7" spans="1:5">
      <c r="A7" t="s">
        <v>902</v>
      </c>
      <c r="B7" t="s">
        <v>889</v>
      </c>
      <c r="C7" t="s">
        <v>41</v>
      </c>
      <c r="D7">
        <v>0</v>
      </c>
      <c r="E7" t="s">
        <v>901</v>
      </c>
    </row>
    <row r="8" spans="1:5">
      <c r="A8" t="s">
        <v>903</v>
      </c>
      <c r="B8" t="s">
        <v>889</v>
      </c>
      <c r="C8" t="s">
        <v>34</v>
      </c>
      <c r="D8">
        <v>0</v>
      </c>
      <c r="E8" t="s">
        <v>899</v>
      </c>
    </row>
    <row r="9" spans="1:5">
      <c r="A9" t="s">
        <v>882</v>
      </c>
      <c r="B9" t="s">
        <v>889</v>
      </c>
      <c r="C9" t="s">
        <v>43</v>
      </c>
      <c r="D9">
        <v>0</v>
      </c>
      <c r="E9" t="s">
        <v>904</v>
      </c>
    </row>
    <row r="10" spans="1:5">
      <c r="A10" t="s">
        <v>851</v>
      </c>
      <c r="B10" t="s">
        <v>889</v>
      </c>
      <c r="C10" t="s">
        <v>34</v>
      </c>
      <c r="D10">
        <v>0</v>
      </c>
      <c r="E10" t="s">
        <v>899</v>
      </c>
    </row>
    <row r="11" spans="1:5">
      <c r="A11" t="s">
        <v>905</v>
      </c>
      <c r="B11" t="s">
        <v>906</v>
      </c>
      <c r="C11" t="s">
        <v>19</v>
      </c>
      <c r="D11">
        <v>0.5</v>
      </c>
      <c r="E11" t="s">
        <v>907</v>
      </c>
    </row>
    <row r="12" spans="1:5">
      <c r="A12" t="s">
        <v>905</v>
      </c>
      <c r="B12" t="s">
        <v>906</v>
      </c>
      <c r="C12" t="s">
        <v>40</v>
      </c>
      <c r="D12">
        <v>0.5</v>
      </c>
      <c r="E12" t="s">
        <v>908</v>
      </c>
    </row>
    <row r="13" spans="1:5">
      <c r="A13" t="s">
        <v>909</v>
      </c>
      <c r="B13" t="s">
        <v>906</v>
      </c>
      <c r="C13" t="s">
        <v>19</v>
      </c>
      <c r="D13">
        <v>0.5</v>
      </c>
      <c r="E13" t="s">
        <v>907</v>
      </c>
    </row>
    <row r="14" spans="1:5">
      <c r="A14" t="s">
        <v>910</v>
      </c>
      <c r="B14" t="s">
        <v>906</v>
      </c>
      <c r="C14" t="s">
        <v>911</v>
      </c>
      <c r="D14">
        <v>0.75</v>
      </c>
      <c r="E14" t="s">
        <v>912</v>
      </c>
    </row>
    <row r="15" spans="1:5">
      <c r="A15" t="s">
        <v>913</v>
      </c>
      <c r="B15" t="s">
        <v>906</v>
      </c>
      <c r="C15" t="s">
        <v>911</v>
      </c>
      <c r="D15">
        <v>0.75</v>
      </c>
      <c r="E15" t="s">
        <v>912</v>
      </c>
    </row>
    <row r="16" spans="1:5">
      <c r="A16" t="s">
        <v>914</v>
      </c>
      <c r="B16" t="s">
        <v>906</v>
      </c>
      <c r="C16" t="s">
        <v>911</v>
      </c>
      <c r="D16">
        <v>0.75</v>
      </c>
      <c r="E16" t="s">
        <v>912</v>
      </c>
    </row>
    <row r="17" spans="1:5">
      <c r="A17" t="s">
        <v>915</v>
      </c>
      <c r="B17" t="s">
        <v>916</v>
      </c>
      <c r="C17" t="s">
        <v>917</v>
      </c>
      <c r="D17">
        <v>2</v>
      </c>
      <c r="E17" t="s">
        <v>918</v>
      </c>
    </row>
    <row r="18" spans="1:5">
      <c r="A18" t="s">
        <v>919</v>
      </c>
      <c r="B18" t="s">
        <v>920</v>
      </c>
      <c r="C18" t="s">
        <v>31</v>
      </c>
      <c r="D18">
        <v>2</v>
      </c>
      <c r="E18" t="s">
        <v>921</v>
      </c>
    </row>
    <row r="19" spans="1:5">
      <c r="A19" t="s">
        <v>922</v>
      </c>
      <c r="B19" t="s">
        <v>920</v>
      </c>
      <c r="C19" t="s">
        <v>31</v>
      </c>
      <c r="D19">
        <v>2</v>
      </c>
      <c r="E19" t="s">
        <v>921</v>
      </c>
    </row>
    <row r="20" spans="1:5">
      <c r="A20" t="s">
        <v>923</v>
      </c>
      <c r="B20" t="s">
        <v>924</v>
      </c>
      <c r="C20" t="s">
        <v>925</v>
      </c>
      <c r="D20">
        <v>1.5</v>
      </c>
      <c r="E20" t="s">
        <v>926</v>
      </c>
    </row>
    <row r="21" spans="1:5">
      <c r="A21" t="s">
        <v>830</v>
      </c>
      <c r="B21" t="s">
        <v>1048</v>
      </c>
      <c r="C21" t="s">
        <v>31</v>
      </c>
      <c r="D21">
        <v>0.66700000000000004</v>
      </c>
      <c r="E21" t="s">
        <v>1049</v>
      </c>
    </row>
    <row r="22" spans="1:5">
      <c r="A22" s="5" t="s">
        <v>1268</v>
      </c>
      <c r="B22" s="5" t="s">
        <v>1285</v>
      </c>
      <c r="C22" s="5" t="s">
        <v>1269</v>
      </c>
      <c r="D22" s="5">
        <v>0</v>
      </c>
      <c r="E22" s="5" t="s">
        <v>1270</v>
      </c>
    </row>
    <row r="23" spans="1:5">
      <c r="A23" s="5" t="s">
        <v>871</v>
      </c>
      <c r="B23" s="5" t="s">
        <v>1285</v>
      </c>
      <c r="C23" s="5" t="s">
        <v>1269</v>
      </c>
      <c r="D23" s="5">
        <v>0</v>
      </c>
      <c r="E23" s="5" t="s">
        <v>1270</v>
      </c>
    </row>
    <row r="24" spans="1:5">
      <c r="A24" s="5" t="s">
        <v>1271</v>
      </c>
      <c r="B24" s="5" t="s">
        <v>1285</v>
      </c>
      <c r="C24" s="5" t="s">
        <v>1269</v>
      </c>
      <c r="D24" s="5">
        <v>0</v>
      </c>
      <c r="E24" s="5" t="s">
        <v>1272</v>
      </c>
    </row>
    <row r="25" spans="1:5">
      <c r="A25" s="5" t="s">
        <v>1273</v>
      </c>
      <c r="B25" s="5" t="s">
        <v>1285</v>
      </c>
      <c r="C25" s="5" t="s">
        <v>1269</v>
      </c>
      <c r="D25" s="5">
        <v>0</v>
      </c>
      <c r="E25" s="5" t="s">
        <v>1274</v>
      </c>
    </row>
    <row r="26" spans="1:5">
      <c r="A26" s="5" t="s">
        <v>1275</v>
      </c>
      <c r="B26" s="5" t="s">
        <v>1285</v>
      </c>
      <c r="C26" s="5" t="s">
        <v>1269</v>
      </c>
      <c r="D26" s="5">
        <v>0</v>
      </c>
      <c r="E26" s="5" t="s">
        <v>1276</v>
      </c>
    </row>
    <row r="27" spans="1:5">
      <c r="A27" s="5" t="s">
        <v>1277</v>
      </c>
      <c r="B27" s="5" t="s">
        <v>1285</v>
      </c>
      <c r="C27" s="5" t="s">
        <v>1269</v>
      </c>
      <c r="D27" s="5">
        <v>0</v>
      </c>
      <c r="E27" s="5" t="s">
        <v>1278</v>
      </c>
    </row>
    <row r="28" spans="1:5">
      <c r="A28" s="5" t="s">
        <v>1279</v>
      </c>
      <c r="B28" s="5" t="s">
        <v>1285</v>
      </c>
      <c r="C28" s="5" t="s">
        <v>1269</v>
      </c>
      <c r="D28" s="5">
        <v>0</v>
      </c>
      <c r="E28" s="5" t="s">
        <v>1280</v>
      </c>
    </row>
    <row r="29" spans="1:5">
      <c r="A29" s="5" t="s">
        <v>1281</v>
      </c>
      <c r="B29" s="5" t="s">
        <v>1285</v>
      </c>
      <c r="C29" s="5" t="s">
        <v>1269</v>
      </c>
      <c r="D29" s="5">
        <v>0</v>
      </c>
      <c r="E29" s="5" t="s">
        <v>1280</v>
      </c>
    </row>
    <row r="30" spans="1:5">
      <c r="A30" s="5" t="s">
        <v>866</v>
      </c>
      <c r="B30" s="5" t="s">
        <v>1285</v>
      </c>
      <c r="C30" s="5" t="s">
        <v>1282</v>
      </c>
      <c r="D30" s="5">
        <v>0</v>
      </c>
      <c r="E30" s="5" t="s">
        <v>1283</v>
      </c>
    </row>
    <row r="31" spans="1:5">
      <c r="A31" s="5" t="s">
        <v>836</v>
      </c>
      <c r="B31" s="5" t="s">
        <v>1285</v>
      </c>
      <c r="C31" s="5" t="s">
        <v>1215</v>
      </c>
      <c r="D31" s="5">
        <v>0</v>
      </c>
      <c r="E31" s="5" t="s">
        <v>1284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5CA9-ED8A-4AFF-B70B-7837155EE95E}">
  <dimension ref="A1:R755"/>
  <sheetViews>
    <sheetView topLeftCell="A637" workbookViewId="0">
      <selection activeCell="A661" sqref="A661:XFD661"/>
    </sheetView>
  </sheetViews>
  <sheetFormatPr defaultRowHeight="15"/>
  <cols>
    <col min="1" max="1" width="29.140625" bestFit="1" customWidth="1"/>
    <col min="2" max="2" width="7.140625" bestFit="1" customWidth="1"/>
    <col min="3" max="3" width="8" bestFit="1" customWidth="1"/>
    <col min="4" max="4" width="9.85546875" bestFit="1" customWidth="1"/>
    <col min="5" max="5" width="10" bestFit="1" customWidth="1"/>
    <col min="7" max="7" width="14" bestFit="1" customWidth="1"/>
    <col min="8" max="8" width="7.5703125" bestFit="1" customWidth="1"/>
    <col min="9" max="9" width="15.42578125" bestFit="1" customWidth="1"/>
    <col min="10" max="10" width="20.85546875" bestFit="1" customWidth="1"/>
    <col min="11" max="11" width="29" bestFit="1" customWidth="1"/>
  </cols>
  <sheetData>
    <row r="1" spans="1:18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t="s">
        <v>680</v>
      </c>
      <c r="G1" t="s">
        <v>1207</v>
      </c>
      <c r="H1" t="s">
        <v>1208</v>
      </c>
      <c r="I1" t="s">
        <v>1209</v>
      </c>
      <c r="J1" t="s">
        <v>1210</v>
      </c>
      <c r="K1" t="s">
        <v>1242</v>
      </c>
      <c r="L1" t="s">
        <v>1298</v>
      </c>
      <c r="M1" t="s">
        <v>1299</v>
      </c>
      <c r="N1" t="s">
        <v>1323</v>
      </c>
      <c r="O1" t="s">
        <v>1324</v>
      </c>
      <c r="P1" t="s">
        <v>1325</v>
      </c>
      <c r="Q1" t="s">
        <v>1326</v>
      </c>
      <c r="R1" t="s">
        <v>1327</v>
      </c>
    </row>
    <row r="2" spans="1:18">
      <c r="A2" t="s">
        <v>136</v>
      </c>
      <c r="B2" s="2">
        <v>195</v>
      </c>
      <c r="C2" s="2" t="s">
        <v>41</v>
      </c>
      <c r="D2" s="2" t="s">
        <v>42</v>
      </c>
      <c r="E2" s="2">
        <v>100</v>
      </c>
      <c r="F2">
        <v>1</v>
      </c>
      <c r="G2" t="b">
        <v>0</v>
      </c>
      <c r="H2">
        <v>0</v>
      </c>
      <c r="I2" t="s">
        <v>1211</v>
      </c>
      <c r="K2" t="s">
        <v>1243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137</v>
      </c>
      <c r="B3" s="2">
        <v>20</v>
      </c>
      <c r="C3" s="2" t="s">
        <v>43</v>
      </c>
      <c r="D3" s="2" t="s">
        <v>42</v>
      </c>
      <c r="E3" s="2">
        <v>100</v>
      </c>
      <c r="F3">
        <v>1</v>
      </c>
      <c r="G3" t="b">
        <v>0</v>
      </c>
      <c r="H3">
        <v>0</v>
      </c>
      <c r="I3" t="s">
        <v>1211</v>
      </c>
      <c r="K3" t="s">
        <v>1243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t="s">
        <v>138</v>
      </c>
      <c r="B4" s="2">
        <v>40</v>
      </c>
      <c r="C4" s="2" t="s">
        <v>25</v>
      </c>
      <c r="D4" s="2" t="s">
        <v>31</v>
      </c>
      <c r="E4" s="2">
        <v>100</v>
      </c>
      <c r="F4">
        <v>1</v>
      </c>
      <c r="G4" t="b">
        <v>1</v>
      </c>
      <c r="H4">
        <v>1</v>
      </c>
      <c r="I4" t="s">
        <v>1211</v>
      </c>
      <c r="K4" t="s">
        <v>1243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139</v>
      </c>
      <c r="B5" s="2">
        <v>40</v>
      </c>
      <c r="C5" s="2" t="s">
        <v>53</v>
      </c>
      <c r="D5" s="2" t="s">
        <v>42</v>
      </c>
      <c r="E5" s="2">
        <v>100</v>
      </c>
      <c r="F5">
        <v>1</v>
      </c>
      <c r="G5" t="b">
        <v>0</v>
      </c>
      <c r="H5">
        <v>0</v>
      </c>
      <c r="I5" t="s">
        <v>1211</v>
      </c>
      <c r="K5" t="s">
        <v>1243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140</v>
      </c>
      <c r="B6" s="2">
        <v>40</v>
      </c>
      <c r="C6" s="2" t="s">
        <v>53</v>
      </c>
      <c r="D6" s="2" t="s">
        <v>42</v>
      </c>
      <c r="E6" s="2">
        <v>100</v>
      </c>
      <c r="F6">
        <v>1</v>
      </c>
      <c r="G6" t="b">
        <v>0</v>
      </c>
      <c r="H6">
        <v>0</v>
      </c>
      <c r="I6" t="s">
        <v>1211</v>
      </c>
      <c r="K6" t="s">
        <v>1243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141</v>
      </c>
      <c r="B7" s="2">
        <v>55</v>
      </c>
      <c r="C7" s="2" t="s">
        <v>35</v>
      </c>
      <c r="D7" s="2" t="s">
        <v>31</v>
      </c>
      <c r="E7" s="2">
        <v>100</v>
      </c>
      <c r="F7">
        <v>1</v>
      </c>
      <c r="G7" t="b">
        <v>1</v>
      </c>
      <c r="H7">
        <v>0</v>
      </c>
      <c r="I7" t="s">
        <v>1212</v>
      </c>
      <c r="J7" t="s">
        <v>1227</v>
      </c>
      <c r="K7" t="s">
        <v>1243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142</v>
      </c>
      <c r="B8" s="2">
        <v>60</v>
      </c>
      <c r="C8" s="2" t="s">
        <v>35</v>
      </c>
      <c r="D8" s="2" t="s">
        <v>31</v>
      </c>
      <c r="E8" s="2">
        <v>100</v>
      </c>
      <c r="F8">
        <v>1</v>
      </c>
      <c r="G8" t="b">
        <v>1</v>
      </c>
      <c r="H8">
        <v>0</v>
      </c>
      <c r="I8" t="s">
        <v>1211</v>
      </c>
      <c r="K8" t="s">
        <v>1243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143</v>
      </c>
      <c r="B9" s="2">
        <v>100</v>
      </c>
      <c r="C9" s="2" t="s">
        <v>35</v>
      </c>
      <c r="D9" s="2" t="s">
        <v>42</v>
      </c>
      <c r="E9" s="2">
        <v>95</v>
      </c>
      <c r="F9">
        <v>1</v>
      </c>
      <c r="G9" t="b">
        <v>0</v>
      </c>
      <c r="H9">
        <v>0</v>
      </c>
      <c r="I9" t="s">
        <v>1211</v>
      </c>
      <c r="K9" t="s">
        <v>1243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144</v>
      </c>
      <c r="B10" s="2">
        <v>60</v>
      </c>
      <c r="C10" s="2" t="s">
        <v>35</v>
      </c>
      <c r="D10" s="2" t="s">
        <v>42</v>
      </c>
      <c r="E10" s="2">
        <v>95</v>
      </c>
      <c r="F10">
        <v>1</v>
      </c>
      <c r="G10" t="b">
        <v>0</v>
      </c>
      <c r="H10">
        <v>0</v>
      </c>
      <c r="I10" t="s">
        <v>1211</v>
      </c>
      <c r="K10" t="s">
        <v>1243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120</v>
      </c>
      <c r="B11" s="2">
        <v>75</v>
      </c>
      <c r="C11" s="2" t="s">
        <v>35</v>
      </c>
      <c r="D11" s="2" t="s">
        <v>42</v>
      </c>
      <c r="E11" s="2">
        <v>95</v>
      </c>
      <c r="F11">
        <v>1</v>
      </c>
      <c r="G11" t="b">
        <v>0</v>
      </c>
      <c r="H11">
        <v>0</v>
      </c>
      <c r="I11" t="s">
        <v>1211</v>
      </c>
      <c r="K11" t="s">
        <v>1243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145</v>
      </c>
      <c r="B12" s="2">
        <v>80</v>
      </c>
      <c r="C12" s="2" t="s">
        <v>24</v>
      </c>
      <c r="D12" s="2" t="s">
        <v>31</v>
      </c>
      <c r="E12" s="2">
        <v>100</v>
      </c>
      <c r="F12">
        <v>1</v>
      </c>
      <c r="G12" t="b">
        <v>1</v>
      </c>
      <c r="H12">
        <v>0</v>
      </c>
      <c r="I12" t="s">
        <v>1211</v>
      </c>
      <c r="K12" t="s">
        <v>1243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146</v>
      </c>
      <c r="B13" s="2">
        <v>60</v>
      </c>
      <c r="C13" s="2" t="s">
        <v>25</v>
      </c>
      <c r="D13" s="2" t="s">
        <v>42</v>
      </c>
      <c r="E13" s="2">
        <v>100</v>
      </c>
      <c r="F13">
        <v>1</v>
      </c>
      <c r="G13" t="b">
        <v>0</v>
      </c>
      <c r="H13">
        <v>0</v>
      </c>
      <c r="I13" t="s">
        <v>1211</v>
      </c>
      <c r="K13" t="s">
        <v>1243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147</v>
      </c>
      <c r="B14" s="2">
        <v>80</v>
      </c>
      <c r="C14" s="2" t="s">
        <v>43</v>
      </c>
      <c r="D14" s="2" t="s">
        <v>42</v>
      </c>
      <c r="E14" s="2">
        <v>100</v>
      </c>
      <c r="F14">
        <v>1</v>
      </c>
      <c r="G14" t="b">
        <v>0</v>
      </c>
      <c r="H14">
        <v>0</v>
      </c>
      <c r="I14" t="s">
        <v>1211</v>
      </c>
      <c r="K14" t="s">
        <v>1243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105</v>
      </c>
      <c r="B15" s="2">
        <v>40</v>
      </c>
      <c r="C15" s="2" t="s">
        <v>34</v>
      </c>
      <c r="D15" s="2" t="s">
        <v>31</v>
      </c>
      <c r="E15" s="2">
        <v>100</v>
      </c>
      <c r="F15">
        <v>1</v>
      </c>
      <c r="G15" t="b">
        <v>1</v>
      </c>
      <c r="H15">
        <v>1</v>
      </c>
      <c r="I15" t="s">
        <v>1211</v>
      </c>
      <c r="K15" t="s">
        <v>1243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148</v>
      </c>
      <c r="B16" s="2">
        <v>90</v>
      </c>
      <c r="C16" s="2" t="s">
        <v>34</v>
      </c>
      <c r="D16" s="2" t="s">
        <v>31</v>
      </c>
      <c r="E16" s="2">
        <v>90</v>
      </c>
      <c r="F16">
        <v>1</v>
      </c>
      <c r="G16" t="b">
        <v>1</v>
      </c>
      <c r="H16">
        <v>0</v>
      </c>
      <c r="I16" t="s">
        <v>1211</v>
      </c>
      <c r="K16" t="s">
        <v>1243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149</v>
      </c>
      <c r="B17" s="2">
        <v>15</v>
      </c>
      <c r="C17" s="2" t="s">
        <v>20</v>
      </c>
      <c r="D17" s="2" t="s">
        <v>31</v>
      </c>
      <c r="E17" s="2">
        <v>100</v>
      </c>
      <c r="F17">
        <v>1</v>
      </c>
      <c r="G17" t="b">
        <v>1</v>
      </c>
      <c r="H17">
        <v>0</v>
      </c>
      <c r="I17" t="s">
        <v>1211</v>
      </c>
      <c r="K17" t="s">
        <v>1243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150</v>
      </c>
      <c r="B18" s="2">
        <v>60</v>
      </c>
      <c r="C18" s="2" t="s">
        <v>38</v>
      </c>
      <c r="D18" s="2" t="s">
        <v>31</v>
      </c>
      <c r="E18" s="2">
        <v>100</v>
      </c>
      <c r="F18">
        <v>1</v>
      </c>
      <c r="G18" t="b">
        <v>1</v>
      </c>
      <c r="H18">
        <v>0</v>
      </c>
      <c r="I18" t="s">
        <v>1212</v>
      </c>
      <c r="J18" t="s">
        <v>1227</v>
      </c>
      <c r="K18" t="s">
        <v>1244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151</v>
      </c>
      <c r="B19" s="2">
        <v>30</v>
      </c>
      <c r="C19" s="2" t="s">
        <v>46</v>
      </c>
      <c r="D19" s="2" t="s">
        <v>31</v>
      </c>
      <c r="E19" s="2">
        <v>100</v>
      </c>
      <c r="F19">
        <v>1</v>
      </c>
      <c r="G19" t="b">
        <v>1</v>
      </c>
      <c r="H19">
        <v>0</v>
      </c>
      <c r="I19" t="s">
        <v>1211</v>
      </c>
      <c r="K19" t="s">
        <v>1243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152</v>
      </c>
      <c r="B20" s="2">
        <v>120</v>
      </c>
      <c r="C20" s="2" t="s">
        <v>46</v>
      </c>
      <c r="D20" s="2" t="s">
        <v>42</v>
      </c>
      <c r="E20" s="2">
        <v>100</v>
      </c>
      <c r="F20">
        <v>1</v>
      </c>
      <c r="G20" t="b">
        <v>0</v>
      </c>
      <c r="H20">
        <v>0</v>
      </c>
      <c r="I20" t="s">
        <v>1211</v>
      </c>
      <c r="K20" t="s">
        <v>1243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153</v>
      </c>
      <c r="B21" s="2">
        <v>90</v>
      </c>
      <c r="C21" s="2" t="s">
        <v>21</v>
      </c>
      <c r="D21" s="2" t="s">
        <v>31</v>
      </c>
      <c r="E21" s="2">
        <v>100</v>
      </c>
      <c r="F21">
        <v>1</v>
      </c>
      <c r="G21" t="b">
        <v>0</v>
      </c>
      <c r="H21">
        <v>0</v>
      </c>
      <c r="I21" t="s">
        <v>1211</v>
      </c>
      <c r="K21" t="s">
        <v>1243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154</v>
      </c>
      <c r="B22" s="2">
        <v>80</v>
      </c>
      <c r="C22" s="2" t="s">
        <v>20</v>
      </c>
      <c r="D22" s="2" t="s">
        <v>42</v>
      </c>
      <c r="E22" s="2">
        <v>100</v>
      </c>
      <c r="F22">
        <v>1</v>
      </c>
      <c r="G22" t="b">
        <v>0</v>
      </c>
      <c r="H22">
        <v>0</v>
      </c>
      <c r="I22" t="s">
        <v>1211</v>
      </c>
      <c r="K22" t="s">
        <v>1243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155</v>
      </c>
      <c r="B23" s="2">
        <v>110</v>
      </c>
      <c r="C23" s="2" t="s">
        <v>41</v>
      </c>
      <c r="D23" s="2" t="s">
        <v>31</v>
      </c>
      <c r="E23" s="2">
        <v>100</v>
      </c>
      <c r="F23">
        <v>1</v>
      </c>
      <c r="G23" t="b">
        <v>0</v>
      </c>
      <c r="H23">
        <v>0</v>
      </c>
      <c r="I23" t="s">
        <v>1211</v>
      </c>
      <c r="K23" t="s">
        <v>1243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156</v>
      </c>
      <c r="B24" s="2">
        <v>65</v>
      </c>
      <c r="C24" s="2" t="s">
        <v>40</v>
      </c>
      <c r="D24" s="2" t="s">
        <v>42</v>
      </c>
      <c r="E24" s="2">
        <v>100</v>
      </c>
      <c r="F24">
        <v>1</v>
      </c>
      <c r="G24" t="b">
        <v>0</v>
      </c>
      <c r="H24">
        <v>0</v>
      </c>
      <c r="I24" t="s">
        <v>1211</v>
      </c>
      <c r="K24" t="s">
        <v>1243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157</v>
      </c>
      <c r="B25" s="2">
        <v>60</v>
      </c>
      <c r="C25" s="2" t="s">
        <v>40</v>
      </c>
      <c r="D25" s="2" t="s">
        <v>31</v>
      </c>
      <c r="E25" s="2">
        <v>100</v>
      </c>
      <c r="F25">
        <v>1</v>
      </c>
      <c r="G25" t="b">
        <v>1</v>
      </c>
      <c r="H25">
        <v>-5</v>
      </c>
      <c r="I25" t="s">
        <v>1212</v>
      </c>
      <c r="J25" t="s">
        <v>1227</v>
      </c>
      <c r="K25" t="s">
        <v>1244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158</v>
      </c>
      <c r="B26" s="2">
        <v>80</v>
      </c>
      <c r="C26" s="2" t="s">
        <v>38</v>
      </c>
      <c r="D26" s="2" t="s">
        <v>42</v>
      </c>
      <c r="E26" s="2">
        <v>95</v>
      </c>
      <c r="F26">
        <v>1</v>
      </c>
      <c r="G26" t="b">
        <v>0</v>
      </c>
      <c r="H26">
        <v>0</v>
      </c>
      <c r="I26" t="s">
        <v>1211</v>
      </c>
      <c r="K26" t="s">
        <v>1243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159</v>
      </c>
      <c r="B27" s="2">
        <v>60</v>
      </c>
      <c r="C27" s="2" t="s">
        <v>53</v>
      </c>
      <c r="D27" s="2" t="s">
        <v>31</v>
      </c>
      <c r="E27" s="2">
        <v>100</v>
      </c>
      <c r="F27">
        <v>1</v>
      </c>
      <c r="G27" t="b">
        <v>0</v>
      </c>
      <c r="H27">
        <v>0</v>
      </c>
      <c r="I27" t="s">
        <v>1211</v>
      </c>
      <c r="K27" t="s">
        <v>1243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160</v>
      </c>
      <c r="B28" s="2">
        <v>15</v>
      </c>
      <c r="C28" s="2" t="s">
        <v>32</v>
      </c>
      <c r="D28" s="2" t="s">
        <v>31</v>
      </c>
      <c r="E28" s="2">
        <v>85</v>
      </c>
      <c r="F28">
        <v>1</v>
      </c>
      <c r="G28" t="b">
        <v>0</v>
      </c>
      <c r="H28">
        <v>0</v>
      </c>
      <c r="I28" t="s">
        <v>1211</v>
      </c>
      <c r="K28" t="s">
        <v>1243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161</v>
      </c>
      <c r="B29" s="2">
        <v>100</v>
      </c>
      <c r="C29" s="2" t="s">
        <v>35</v>
      </c>
      <c r="D29" s="2" t="s">
        <v>31</v>
      </c>
      <c r="E29" s="2">
        <v>100</v>
      </c>
      <c r="F29">
        <v>1</v>
      </c>
      <c r="G29" t="b">
        <v>0</v>
      </c>
      <c r="H29">
        <v>-2</v>
      </c>
      <c r="I29" t="s">
        <v>1211</v>
      </c>
      <c r="K29" t="s">
        <v>1243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162</v>
      </c>
      <c r="B30" s="2">
        <v>0</v>
      </c>
      <c r="C30" s="2" t="s">
        <v>38</v>
      </c>
      <c r="D30" s="2" t="s">
        <v>31</v>
      </c>
      <c r="E30" s="2">
        <v>100</v>
      </c>
      <c r="F30">
        <v>1</v>
      </c>
      <c r="G30" t="b">
        <v>0</v>
      </c>
      <c r="H30">
        <v>0</v>
      </c>
      <c r="I30" t="s">
        <v>1212</v>
      </c>
      <c r="J30" t="s">
        <v>1227</v>
      </c>
      <c r="K30" t="s">
        <v>1243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163</v>
      </c>
      <c r="B31" s="2">
        <v>100</v>
      </c>
      <c r="C31" s="2" t="s">
        <v>24</v>
      </c>
      <c r="D31" s="2" t="s">
        <v>31</v>
      </c>
      <c r="E31" s="2">
        <v>100</v>
      </c>
      <c r="F31">
        <v>1</v>
      </c>
      <c r="G31" t="b">
        <v>0</v>
      </c>
      <c r="H31">
        <v>0</v>
      </c>
      <c r="I31" t="s">
        <v>1211</v>
      </c>
      <c r="K31" t="s">
        <v>1243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164</v>
      </c>
      <c r="B32" s="2">
        <v>100</v>
      </c>
      <c r="C32" s="2" t="s">
        <v>24</v>
      </c>
      <c r="D32" s="2" t="s">
        <v>31</v>
      </c>
      <c r="E32" s="2">
        <v>100</v>
      </c>
      <c r="F32">
        <v>1</v>
      </c>
      <c r="G32" t="b">
        <v>0</v>
      </c>
      <c r="H32">
        <v>0</v>
      </c>
      <c r="I32" t="s">
        <v>1211</v>
      </c>
      <c r="K32" t="s">
        <v>1243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165</v>
      </c>
      <c r="B33" s="2">
        <v>120</v>
      </c>
      <c r="C33" s="2" t="s">
        <v>53</v>
      </c>
      <c r="D33" s="2" t="s">
        <v>42</v>
      </c>
      <c r="E33" s="2">
        <v>90</v>
      </c>
      <c r="F33">
        <v>1</v>
      </c>
      <c r="G33" t="b">
        <v>0</v>
      </c>
      <c r="H33">
        <v>0</v>
      </c>
      <c r="I33" t="s">
        <v>1211</v>
      </c>
      <c r="K33" t="s">
        <v>1243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166</v>
      </c>
      <c r="B34" s="2">
        <v>0</v>
      </c>
      <c r="C34" s="2" t="s">
        <v>32</v>
      </c>
      <c r="D34" s="2" t="s">
        <v>31</v>
      </c>
      <c r="E34" s="2">
        <v>100</v>
      </c>
      <c r="F34">
        <v>1</v>
      </c>
      <c r="G34" t="b">
        <v>1</v>
      </c>
      <c r="H34">
        <v>1</v>
      </c>
      <c r="I34" t="s">
        <v>1213</v>
      </c>
      <c r="J34" t="s">
        <v>1228</v>
      </c>
      <c r="K34" t="s">
        <v>1244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167</v>
      </c>
      <c r="B35" s="2">
        <v>15</v>
      </c>
      <c r="C35" s="2" t="s">
        <v>32</v>
      </c>
      <c r="D35" s="2" t="s">
        <v>31</v>
      </c>
      <c r="E35" s="2">
        <v>85</v>
      </c>
      <c r="F35">
        <v>1</v>
      </c>
      <c r="G35" t="b">
        <v>1</v>
      </c>
      <c r="H35">
        <v>0</v>
      </c>
      <c r="I35" t="s">
        <v>1211</v>
      </c>
      <c r="K35" t="s">
        <v>1243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106</v>
      </c>
      <c r="B36" s="2">
        <v>60</v>
      </c>
      <c r="C36" s="2" t="s">
        <v>38</v>
      </c>
      <c r="D36" s="2" t="s">
        <v>31</v>
      </c>
      <c r="E36" s="2">
        <v>100</v>
      </c>
      <c r="F36">
        <v>1</v>
      </c>
      <c r="G36" t="b">
        <v>1</v>
      </c>
      <c r="H36">
        <v>0</v>
      </c>
      <c r="I36" t="s">
        <v>1211</v>
      </c>
      <c r="K36" t="s">
        <v>1243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168</v>
      </c>
      <c r="B37" s="2">
        <v>75</v>
      </c>
      <c r="C37" s="2" t="s">
        <v>46</v>
      </c>
      <c r="D37" s="2" t="s">
        <v>42</v>
      </c>
      <c r="E37" s="2">
        <v>100</v>
      </c>
      <c r="F37">
        <v>1</v>
      </c>
      <c r="G37" t="b">
        <v>0</v>
      </c>
      <c r="H37">
        <v>0</v>
      </c>
      <c r="I37" t="s">
        <v>1211</v>
      </c>
      <c r="K37" t="s">
        <v>1243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169</v>
      </c>
      <c r="B38" s="2">
        <v>150</v>
      </c>
      <c r="C38" s="2" t="s">
        <v>19</v>
      </c>
      <c r="D38" s="2" t="s">
        <v>42</v>
      </c>
      <c r="E38" s="2">
        <v>90</v>
      </c>
      <c r="F38">
        <v>1</v>
      </c>
      <c r="G38" t="b">
        <v>0</v>
      </c>
      <c r="H38">
        <v>0</v>
      </c>
      <c r="I38" t="s">
        <v>1211</v>
      </c>
      <c r="K38" t="s">
        <v>1243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170</v>
      </c>
      <c r="B39" s="2">
        <v>85</v>
      </c>
      <c r="C39" s="2" t="s">
        <v>19</v>
      </c>
      <c r="D39" s="2" t="s">
        <v>31</v>
      </c>
      <c r="E39" s="2">
        <v>90</v>
      </c>
      <c r="F39">
        <v>1</v>
      </c>
      <c r="G39" t="b">
        <v>1</v>
      </c>
      <c r="H39">
        <v>0</v>
      </c>
      <c r="I39" t="s">
        <v>1211</v>
      </c>
      <c r="K39" t="s">
        <v>1243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171</v>
      </c>
      <c r="B40" s="2">
        <v>100</v>
      </c>
      <c r="C40" s="2" t="s">
        <v>35</v>
      </c>
      <c r="D40" s="2" t="s">
        <v>42</v>
      </c>
      <c r="E40" s="2">
        <v>80</v>
      </c>
      <c r="F40">
        <v>1</v>
      </c>
      <c r="G40" t="b">
        <v>0</v>
      </c>
      <c r="H40">
        <v>0</v>
      </c>
      <c r="I40" t="s">
        <v>1211</v>
      </c>
      <c r="K40" t="s">
        <v>1243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172</v>
      </c>
      <c r="B41" s="2">
        <v>110</v>
      </c>
      <c r="C41" s="2" t="s">
        <v>40</v>
      </c>
      <c r="D41" s="2" t="s">
        <v>42</v>
      </c>
      <c r="E41" s="2">
        <v>70</v>
      </c>
      <c r="F41">
        <v>1</v>
      </c>
      <c r="G41" t="b">
        <v>0</v>
      </c>
      <c r="H41">
        <v>0</v>
      </c>
      <c r="I41" t="s">
        <v>1211</v>
      </c>
      <c r="K41" t="s">
        <v>1243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173</v>
      </c>
      <c r="B42" s="2">
        <v>130</v>
      </c>
      <c r="C42" s="2" t="s">
        <v>19</v>
      </c>
      <c r="D42" s="2" t="s">
        <v>42</v>
      </c>
      <c r="E42" s="2">
        <v>85</v>
      </c>
      <c r="F42">
        <v>1</v>
      </c>
      <c r="G42" t="b">
        <v>0</v>
      </c>
      <c r="H42">
        <v>0</v>
      </c>
      <c r="I42" t="s">
        <v>1211</v>
      </c>
      <c r="K42" t="s">
        <v>1243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174</v>
      </c>
      <c r="B43" s="2">
        <v>80</v>
      </c>
      <c r="C43" s="2" t="s">
        <v>20</v>
      </c>
      <c r="D43" s="2" t="s">
        <v>31</v>
      </c>
      <c r="E43" s="2">
        <v>100</v>
      </c>
      <c r="F43">
        <v>1</v>
      </c>
      <c r="G43" t="b">
        <v>1</v>
      </c>
      <c r="H43">
        <v>0</v>
      </c>
      <c r="I43" t="s">
        <v>1214</v>
      </c>
      <c r="K43" t="s">
        <v>1243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175</v>
      </c>
      <c r="B44" s="2">
        <v>85</v>
      </c>
      <c r="C44" s="2" t="s">
        <v>32</v>
      </c>
      <c r="D44" s="2" t="s">
        <v>31</v>
      </c>
      <c r="E44" s="2">
        <v>100</v>
      </c>
      <c r="F44">
        <v>1</v>
      </c>
      <c r="G44" t="b">
        <v>1</v>
      </c>
      <c r="H44">
        <v>0</v>
      </c>
      <c r="I44" t="s">
        <v>1211</v>
      </c>
      <c r="K44" t="s">
        <v>1243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176</v>
      </c>
      <c r="B45" s="2">
        <v>85</v>
      </c>
      <c r="C45" s="2" t="s">
        <v>41</v>
      </c>
      <c r="D45" s="2" t="s">
        <v>31</v>
      </c>
      <c r="E45" s="2">
        <v>100</v>
      </c>
      <c r="F45">
        <v>1</v>
      </c>
      <c r="G45" t="b">
        <v>1</v>
      </c>
      <c r="H45">
        <v>0</v>
      </c>
      <c r="I45" t="s">
        <v>1211</v>
      </c>
      <c r="K45" t="s">
        <v>1243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177</v>
      </c>
      <c r="B46" s="2">
        <v>130</v>
      </c>
      <c r="C46" s="2" t="s">
        <v>41</v>
      </c>
      <c r="D46" s="2" t="s">
        <v>31</v>
      </c>
      <c r="E46" s="2">
        <v>85</v>
      </c>
      <c r="F46">
        <v>1</v>
      </c>
      <c r="G46" t="b">
        <v>1</v>
      </c>
      <c r="H46">
        <v>0</v>
      </c>
      <c r="I46" t="s">
        <v>1211</v>
      </c>
      <c r="K46" t="s">
        <v>1243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178</v>
      </c>
      <c r="B47" s="2">
        <v>65</v>
      </c>
      <c r="C47" s="2" t="s">
        <v>23</v>
      </c>
      <c r="D47" s="2" t="s">
        <v>31</v>
      </c>
      <c r="E47" s="2">
        <v>85</v>
      </c>
      <c r="F47">
        <v>1</v>
      </c>
      <c r="G47" t="b">
        <v>0</v>
      </c>
      <c r="H47">
        <v>0</v>
      </c>
      <c r="I47" t="s">
        <v>1211</v>
      </c>
      <c r="K47" t="s">
        <v>1243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179</v>
      </c>
      <c r="B48" s="2">
        <v>25</v>
      </c>
      <c r="C48" s="2" t="s">
        <v>23</v>
      </c>
      <c r="D48" s="2" t="s">
        <v>31</v>
      </c>
      <c r="E48" s="2">
        <v>90</v>
      </c>
      <c r="F48">
        <v>1</v>
      </c>
      <c r="G48" t="b">
        <v>0</v>
      </c>
      <c r="H48">
        <v>0</v>
      </c>
      <c r="I48" t="s">
        <v>1211</v>
      </c>
      <c r="K48" t="s">
        <v>1243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180</v>
      </c>
      <c r="B49" s="2">
        <v>50</v>
      </c>
      <c r="C49" s="2" t="s">
        <v>23</v>
      </c>
      <c r="D49" s="2" t="s">
        <v>31</v>
      </c>
      <c r="E49" s="2">
        <v>90</v>
      </c>
      <c r="F49">
        <v>1</v>
      </c>
      <c r="G49" t="b">
        <v>0</v>
      </c>
      <c r="H49">
        <v>0</v>
      </c>
      <c r="I49" t="s">
        <v>1211</v>
      </c>
      <c r="K49" t="s">
        <v>1243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181</v>
      </c>
      <c r="B50" s="2">
        <v>140</v>
      </c>
      <c r="C50" s="2" t="s">
        <v>32</v>
      </c>
      <c r="D50" s="2" t="s">
        <v>42</v>
      </c>
      <c r="E50" s="2">
        <v>100</v>
      </c>
      <c r="F50">
        <v>1</v>
      </c>
      <c r="G50" t="b">
        <v>0</v>
      </c>
      <c r="H50">
        <v>0</v>
      </c>
      <c r="I50" t="s">
        <v>1211</v>
      </c>
      <c r="K50" t="s">
        <v>1243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182</v>
      </c>
      <c r="B51" s="2">
        <v>85</v>
      </c>
      <c r="C51" s="2" t="s">
        <v>35</v>
      </c>
      <c r="D51" s="2" t="s">
        <v>31</v>
      </c>
      <c r="E51" s="2">
        <v>85</v>
      </c>
      <c r="F51">
        <v>1</v>
      </c>
      <c r="G51" t="b">
        <v>1</v>
      </c>
      <c r="H51">
        <v>0</v>
      </c>
      <c r="I51" t="s">
        <v>1211</v>
      </c>
      <c r="K51" t="s">
        <v>1243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183</v>
      </c>
      <c r="B52" s="2">
        <v>60</v>
      </c>
      <c r="C52" s="2" t="s">
        <v>34</v>
      </c>
      <c r="D52" s="2" t="s">
        <v>42</v>
      </c>
      <c r="E52" s="2">
        <v>100</v>
      </c>
      <c r="F52">
        <v>1</v>
      </c>
      <c r="G52" t="b">
        <v>0</v>
      </c>
      <c r="H52">
        <v>0</v>
      </c>
      <c r="I52" t="s">
        <v>1211</v>
      </c>
      <c r="K52" t="s">
        <v>1243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184</v>
      </c>
      <c r="B53" s="2">
        <v>40</v>
      </c>
      <c r="C53" s="2" t="s">
        <v>43</v>
      </c>
      <c r="D53" s="2" t="s">
        <v>31</v>
      </c>
      <c r="E53" s="2">
        <v>100</v>
      </c>
      <c r="F53">
        <v>1</v>
      </c>
      <c r="G53" t="b">
        <v>1</v>
      </c>
      <c r="H53">
        <v>0</v>
      </c>
      <c r="I53" t="s">
        <v>1211</v>
      </c>
      <c r="K53" t="s">
        <v>1243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185</v>
      </c>
      <c r="B54" s="2">
        <v>120</v>
      </c>
      <c r="C54" s="2" t="s">
        <v>35</v>
      </c>
      <c r="D54" s="2" t="s">
        <v>31</v>
      </c>
      <c r="E54" s="2">
        <v>100</v>
      </c>
      <c r="F54">
        <v>1</v>
      </c>
      <c r="G54" t="b">
        <v>1</v>
      </c>
      <c r="H54">
        <v>0</v>
      </c>
      <c r="I54" t="s">
        <v>1211</v>
      </c>
      <c r="K54" t="s">
        <v>1243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186</v>
      </c>
      <c r="B55" s="2">
        <v>60</v>
      </c>
      <c r="C55" s="2" t="s">
        <v>47</v>
      </c>
      <c r="D55" s="2" t="s">
        <v>31</v>
      </c>
      <c r="E55" s="2">
        <v>100</v>
      </c>
      <c r="F55">
        <v>1</v>
      </c>
      <c r="G55" t="b">
        <v>1</v>
      </c>
      <c r="H55">
        <v>0</v>
      </c>
      <c r="I55" t="s">
        <v>1211</v>
      </c>
      <c r="K55" t="s">
        <v>1243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187</v>
      </c>
      <c r="B56" s="2">
        <v>75</v>
      </c>
      <c r="C56" s="2" t="s">
        <v>20</v>
      </c>
      <c r="D56" s="2" t="s">
        <v>31</v>
      </c>
      <c r="E56" s="2">
        <v>100</v>
      </c>
      <c r="F56">
        <v>1</v>
      </c>
      <c r="G56" t="b">
        <v>1</v>
      </c>
      <c r="H56">
        <v>0</v>
      </c>
      <c r="I56" t="s">
        <v>1211</v>
      </c>
      <c r="K56" t="s">
        <v>1243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188</v>
      </c>
      <c r="B57" s="2">
        <v>65</v>
      </c>
      <c r="C57" s="2" t="s">
        <v>34</v>
      </c>
      <c r="D57" s="2" t="s">
        <v>42</v>
      </c>
      <c r="E57" s="2">
        <v>100</v>
      </c>
      <c r="F57">
        <v>1</v>
      </c>
      <c r="G57" t="b">
        <v>0</v>
      </c>
      <c r="H57">
        <v>0</v>
      </c>
      <c r="I57" t="s">
        <v>1212</v>
      </c>
      <c r="J57" t="s">
        <v>1227</v>
      </c>
      <c r="K57" t="s">
        <v>1243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189</v>
      </c>
      <c r="B58" s="2">
        <v>60</v>
      </c>
      <c r="C58" s="2" t="s">
        <v>38</v>
      </c>
      <c r="D58" s="2" t="s">
        <v>31</v>
      </c>
      <c r="E58" s="2">
        <v>100</v>
      </c>
      <c r="F58">
        <v>1</v>
      </c>
      <c r="G58" t="b">
        <v>1</v>
      </c>
      <c r="H58">
        <v>0</v>
      </c>
      <c r="I58" t="s">
        <v>1211</v>
      </c>
      <c r="K58" t="s">
        <v>1243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190</v>
      </c>
      <c r="B59" s="2">
        <v>40</v>
      </c>
      <c r="C59" s="2" t="s">
        <v>34</v>
      </c>
      <c r="D59" s="2" t="s">
        <v>42</v>
      </c>
      <c r="E59" s="2">
        <v>100</v>
      </c>
      <c r="F59">
        <v>1</v>
      </c>
      <c r="G59" t="b">
        <v>0</v>
      </c>
      <c r="H59">
        <v>0</v>
      </c>
      <c r="I59" t="s">
        <v>1211</v>
      </c>
      <c r="K59" t="s">
        <v>1243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191</v>
      </c>
      <c r="B60" s="2">
        <v>65</v>
      </c>
      <c r="C60" s="2" t="s">
        <v>34</v>
      </c>
      <c r="D60" s="2" t="s">
        <v>42</v>
      </c>
      <c r="E60" s="2">
        <v>100</v>
      </c>
      <c r="F60">
        <v>1</v>
      </c>
      <c r="G60" t="b">
        <v>0</v>
      </c>
      <c r="H60">
        <v>0</v>
      </c>
      <c r="I60" t="s">
        <v>1211</v>
      </c>
      <c r="K60" t="s">
        <v>1243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t="s">
        <v>192</v>
      </c>
      <c r="B61" s="2">
        <v>60</v>
      </c>
      <c r="C61" s="2" t="s">
        <v>21</v>
      </c>
      <c r="D61" s="2" t="s">
        <v>31</v>
      </c>
      <c r="E61" s="2">
        <v>100</v>
      </c>
      <c r="F61">
        <v>1</v>
      </c>
      <c r="G61" t="b">
        <v>1</v>
      </c>
      <c r="H61">
        <v>0</v>
      </c>
      <c r="I61" t="s">
        <v>1211</v>
      </c>
      <c r="K61" t="s">
        <v>1243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193</v>
      </c>
      <c r="B62" s="2">
        <v>90</v>
      </c>
      <c r="C62" s="2" t="s">
        <v>21</v>
      </c>
      <c r="D62" s="2" t="s">
        <v>42</v>
      </c>
      <c r="E62" s="2">
        <v>100</v>
      </c>
      <c r="F62">
        <v>1</v>
      </c>
      <c r="G62" t="b">
        <v>0</v>
      </c>
      <c r="H62">
        <v>0</v>
      </c>
      <c r="I62" t="s">
        <v>1211</v>
      </c>
      <c r="K62" t="s">
        <v>1243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t="s">
        <v>194</v>
      </c>
      <c r="B63" s="2">
        <v>60</v>
      </c>
      <c r="C63" s="2" t="s">
        <v>23</v>
      </c>
      <c r="D63" s="2" t="s">
        <v>31</v>
      </c>
      <c r="E63" s="2">
        <v>100</v>
      </c>
      <c r="F63">
        <v>1</v>
      </c>
      <c r="G63" t="b">
        <v>0</v>
      </c>
      <c r="H63">
        <v>0</v>
      </c>
      <c r="I63" t="s">
        <v>1211</v>
      </c>
      <c r="K63" t="s">
        <v>1243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195</v>
      </c>
      <c r="B64" s="2">
        <v>40</v>
      </c>
      <c r="C64" s="2" t="s">
        <v>24</v>
      </c>
      <c r="D64" s="2" t="s">
        <v>31</v>
      </c>
      <c r="E64" s="2">
        <v>100</v>
      </c>
      <c r="F64">
        <v>1</v>
      </c>
      <c r="G64" t="b">
        <v>1</v>
      </c>
      <c r="H64">
        <v>1</v>
      </c>
      <c r="I64" t="s">
        <v>1211</v>
      </c>
      <c r="K64" t="s">
        <v>1243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196</v>
      </c>
      <c r="B65" s="2">
        <v>25</v>
      </c>
      <c r="C65" s="2" t="s">
        <v>43</v>
      </c>
      <c r="D65" s="2" t="s">
        <v>31</v>
      </c>
      <c r="E65" s="2">
        <v>100</v>
      </c>
      <c r="F65">
        <v>3</v>
      </c>
      <c r="G65" t="b">
        <v>0</v>
      </c>
      <c r="H65">
        <v>0</v>
      </c>
      <c r="I65" t="s">
        <v>1211</v>
      </c>
      <c r="K65" t="s">
        <v>1243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197</v>
      </c>
      <c r="B66" s="2">
        <v>130</v>
      </c>
      <c r="C66" s="2" t="s">
        <v>19</v>
      </c>
      <c r="D66" s="2" t="s">
        <v>42</v>
      </c>
      <c r="E66" s="2">
        <v>100</v>
      </c>
      <c r="F66">
        <v>1</v>
      </c>
      <c r="G66" t="b">
        <v>0</v>
      </c>
      <c r="H66">
        <v>0</v>
      </c>
      <c r="I66" t="s">
        <v>1211</v>
      </c>
      <c r="K66" t="s">
        <v>1243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198</v>
      </c>
      <c r="B67" s="2">
        <v>70</v>
      </c>
      <c r="C67" s="2" t="s">
        <v>19</v>
      </c>
      <c r="D67" s="2" t="s">
        <v>42</v>
      </c>
      <c r="E67" s="2">
        <v>100</v>
      </c>
      <c r="F67">
        <v>1</v>
      </c>
      <c r="G67" t="b">
        <v>0</v>
      </c>
      <c r="H67">
        <v>0</v>
      </c>
      <c r="I67" t="s">
        <v>1212</v>
      </c>
      <c r="J67" t="s">
        <v>1227</v>
      </c>
      <c r="K67" t="s">
        <v>1243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199</v>
      </c>
      <c r="B68" s="2">
        <v>60</v>
      </c>
      <c r="C68" s="2" t="s">
        <v>41</v>
      </c>
      <c r="D68" s="2" t="s">
        <v>42</v>
      </c>
      <c r="E68" s="2">
        <v>100</v>
      </c>
      <c r="F68">
        <v>1</v>
      </c>
      <c r="G68" t="b">
        <v>0</v>
      </c>
      <c r="H68">
        <v>0</v>
      </c>
      <c r="I68" t="s">
        <v>1211</v>
      </c>
      <c r="K68" t="s">
        <v>1243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200</v>
      </c>
      <c r="B69" s="2">
        <v>210</v>
      </c>
      <c r="C69" s="2" t="s">
        <v>41</v>
      </c>
      <c r="D69" s="2" t="s">
        <v>31</v>
      </c>
      <c r="E69" s="2">
        <v>100</v>
      </c>
      <c r="F69">
        <v>1</v>
      </c>
      <c r="G69" t="b">
        <v>1</v>
      </c>
      <c r="H69">
        <v>0</v>
      </c>
      <c r="I69" t="s">
        <v>1211</v>
      </c>
      <c r="K69" t="s">
        <v>1243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201</v>
      </c>
      <c r="B70" s="2">
        <v>65</v>
      </c>
      <c r="C70" s="2" t="s">
        <v>38</v>
      </c>
      <c r="D70" s="2" t="s">
        <v>31</v>
      </c>
      <c r="E70" s="2">
        <v>90</v>
      </c>
      <c r="F70">
        <v>1</v>
      </c>
      <c r="G70" t="b">
        <v>1</v>
      </c>
      <c r="H70">
        <v>0</v>
      </c>
      <c r="I70" t="s">
        <v>1211</v>
      </c>
      <c r="K70" t="s">
        <v>1243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202</v>
      </c>
      <c r="B71" s="2">
        <v>50</v>
      </c>
      <c r="C71" s="2" t="s">
        <v>41</v>
      </c>
      <c r="D71" s="2" t="s">
        <v>42</v>
      </c>
      <c r="E71" s="2">
        <v>90</v>
      </c>
      <c r="F71">
        <v>1</v>
      </c>
      <c r="G71" t="b">
        <v>0</v>
      </c>
      <c r="H71">
        <v>0</v>
      </c>
      <c r="I71" t="s">
        <v>1211</v>
      </c>
      <c r="K71" t="s">
        <v>1243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203</v>
      </c>
      <c r="B72" s="2">
        <v>65</v>
      </c>
      <c r="C72" s="2" t="s">
        <v>35</v>
      </c>
      <c r="D72" s="2" t="s">
        <v>42</v>
      </c>
      <c r="E72" s="2">
        <v>100</v>
      </c>
      <c r="F72">
        <v>1</v>
      </c>
      <c r="G72" t="b">
        <v>0</v>
      </c>
      <c r="H72">
        <v>0</v>
      </c>
      <c r="I72" t="s">
        <v>1211</v>
      </c>
      <c r="K72" t="s">
        <v>1243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204</v>
      </c>
      <c r="B73" s="2">
        <v>70</v>
      </c>
      <c r="C73" s="2" t="s">
        <v>32</v>
      </c>
      <c r="D73" s="2" t="s">
        <v>31</v>
      </c>
      <c r="E73" s="2">
        <v>100</v>
      </c>
      <c r="F73">
        <v>1</v>
      </c>
      <c r="G73" t="b">
        <v>1</v>
      </c>
      <c r="H73">
        <v>0</v>
      </c>
      <c r="I73" t="s">
        <v>1211</v>
      </c>
      <c r="K73" t="s">
        <v>1243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205</v>
      </c>
      <c r="B74" s="2">
        <v>150</v>
      </c>
      <c r="C74" s="2" t="s">
        <v>43</v>
      </c>
      <c r="D74" s="2" t="s">
        <v>42</v>
      </c>
      <c r="E74" s="2">
        <v>95</v>
      </c>
      <c r="F74">
        <v>1</v>
      </c>
      <c r="G74" t="b">
        <v>0</v>
      </c>
      <c r="H74">
        <v>0</v>
      </c>
      <c r="I74" t="s">
        <v>1211</v>
      </c>
      <c r="K74" t="s">
        <v>1243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206</v>
      </c>
      <c r="B75" s="2">
        <v>60</v>
      </c>
      <c r="C75" s="2" t="s">
        <v>20</v>
      </c>
      <c r="D75" s="2" t="s">
        <v>31</v>
      </c>
      <c r="E75" s="2">
        <v>90</v>
      </c>
      <c r="F75">
        <v>1</v>
      </c>
      <c r="G75" t="b">
        <v>1</v>
      </c>
      <c r="H75">
        <v>-7</v>
      </c>
      <c r="I75" t="s">
        <v>1211</v>
      </c>
      <c r="K75" t="s">
        <v>1243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207</v>
      </c>
      <c r="B76" s="2">
        <v>35</v>
      </c>
      <c r="C76" s="2" t="s">
        <v>34</v>
      </c>
      <c r="D76" s="2" t="s">
        <v>31</v>
      </c>
      <c r="E76" s="2">
        <v>85</v>
      </c>
      <c r="F76">
        <v>1</v>
      </c>
      <c r="G76" t="b">
        <v>1</v>
      </c>
      <c r="H76">
        <v>0</v>
      </c>
      <c r="I76" t="s">
        <v>1211</v>
      </c>
      <c r="K76" t="s">
        <v>1243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208</v>
      </c>
      <c r="B77" s="2">
        <v>110</v>
      </c>
      <c r="C77" s="2" t="s">
        <v>47</v>
      </c>
      <c r="D77" s="2" t="s">
        <v>42</v>
      </c>
      <c r="E77" s="2">
        <v>100</v>
      </c>
      <c r="F77">
        <v>1</v>
      </c>
      <c r="G77" t="b">
        <v>0</v>
      </c>
      <c r="H77">
        <v>0</v>
      </c>
      <c r="I77" t="s">
        <v>1211</v>
      </c>
      <c r="K77" t="s">
        <v>1243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209</v>
      </c>
      <c r="B78" s="2">
        <v>185</v>
      </c>
      <c r="C78" s="2" t="s">
        <v>47</v>
      </c>
      <c r="D78" s="2" t="s">
        <v>42</v>
      </c>
      <c r="E78" s="2">
        <v>100</v>
      </c>
      <c r="F78">
        <v>1</v>
      </c>
      <c r="G78" t="b">
        <v>0</v>
      </c>
      <c r="H78">
        <v>0</v>
      </c>
      <c r="I78" t="s">
        <v>1211</v>
      </c>
      <c r="K78" t="s">
        <v>1243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210</v>
      </c>
      <c r="B79" s="2">
        <v>50</v>
      </c>
      <c r="C79" s="2" t="s">
        <v>53</v>
      </c>
      <c r="D79" s="2" t="s">
        <v>42</v>
      </c>
      <c r="E79" s="2">
        <v>100</v>
      </c>
      <c r="F79">
        <v>1</v>
      </c>
      <c r="G79" t="b">
        <v>0</v>
      </c>
      <c r="H79">
        <v>0</v>
      </c>
      <c r="I79" t="s">
        <v>1211</v>
      </c>
      <c r="K79" t="s">
        <v>1243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211</v>
      </c>
      <c r="B80" s="2">
        <v>120</v>
      </c>
      <c r="C80" s="2" t="s">
        <v>20</v>
      </c>
      <c r="D80" s="2" t="s">
        <v>31</v>
      </c>
      <c r="E80" s="2">
        <v>100</v>
      </c>
      <c r="F80">
        <v>1</v>
      </c>
      <c r="G80" t="b">
        <v>1</v>
      </c>
      <c r="H80">
        <v>0</v>
      </c>
      <c r="I80" t="s">
        <v>1211</v>
      </c>
      <c r="K80" t="s">
        <v>1243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212</v>
      </c>
      <c r="B81" s="2">
        <v>18</v>
      </c>
      <c r="C81" s="2" t="s">
        <v>32</v>
      </c>
      <c r="D81" s="2" t="s">
        <v>31</v>
      </c>
      <c r="E81" s="2">
        <v>85</v>
      </c>
      <c r="F81">
        <v>1</v>
      </c>
      <c r="G81" t="b">
        <v>1</v>
      </c>
      <c r="H81">
        <v>0</v>
      </c>
      <c r="I81" t="s">
        <v>1211</v>
      </c>
      <c r="K81" t="s">
        <v>1243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213</v>
      </c>
      <c r="B82" s="2">
        <v>50</v>
      </c>
      <c r="C82" s="2" t="s">
        <v>22</v>
      </c>
      <c r="D82" s="2" t="s">
        <v>42</v>
      </c>
      <c r="E82" s="2">
        <v>100</v>
      </c>
      <c r="F82">
        <v>1</v>
      </c>
      <c r="G82" t="b">
        <v>0</v>
      </c>
      <c r="H82">
        <v>0</v>
      </c>
      <c r="I82" t="s">
        <v>1211</v>
      </c>
      <c r="K82" t="s">
        <v>1243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214</v>
      </c>
      <c r="B83" s="2">
        <v>10</v>
      </c>
      <c r="C83" s="2" t="s">
        <v>32</v>
      </c>
      <c r="D83" s="2" t="s">
        <v>31</v>
      </c>
      <c r="E83" s="2">
        <v>100</v>
      </c>
      <c r="F83">
        <v>1</v>
      </c>
      <c r="G83" t="b">
        <v>1</v>
      </c>
      <c r="H83">
        <v>0</v>
      </c>
      <c r="I83" t="s">
        <v>1211</v>
      </c>
      <c r="K83" t="s">
        <v>1243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215</v>
      </c>
      <c r="B84" s="2">
        <v>100</v>
      </c>
      <c r="C84" s="2" t="s">
        <v>47</v>
      </c>
      <c r="D84" s="2" t="s">
        <v>42</v>
      </c>
      <c r="E84" s="2">
        <v>100</v>
      </c>
      <c r="F84">
        <v>1</v>
      </c>
      <c r="G84" t="b">
        <v>0</v>
      </c>
      <c r="H84">
        <v>0</v>
      </c>
      <c r="I84" t="s">
        <v>1211</v>
      </c>
      <c r="K84" t="s">
        <v>1243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216</v>
      </c>
      <c r="B85" s="2">
        <v>0</v>
      </c>
      <c r="C85" s="2" t="s">
        <v>20</v>
      </c>
      <c r="D85" s="2" t="s">
        <v>31</v>
      </c>
      <c r="E85" s="2">
        <v>100</v>
      </c>
      <c r="F85">
        <v>1</v>
      </c>
      <c r="G85" t="b">
        <v>1</v>
      </c>
      <c r="H85">
        <v>-6</v>
      </c>
      <c r="I85" t="s">
        <v>1213</v>
      </c>
      <c r="J85" t="s">
        <v>1228</v>
      </c>
      <c r="K85" t="s">
        <v>1245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217</v>
      </c>
      <c r="B86" s="2">
        <v>60</v>
      </c>
      <c r="C86" s="2" t="s">
        <v>32</v>
      </c>
      <c r="D86" s="2" t="s">
        <v>31</v>
      </c>
      <c r="E86" s="2">
        <v>100</v>
      </c>
      <c r="F86">
        <v>1</v>
      </c>
      <c r="G86" t="b">
        <v>1</v>
      </c>
      <c r="H86">
        <v>0</v>
      </c>
      <c r="I86" t="s">
        <v>1211</v>
      </c>
      <c r="K86" t="s">
        <v>1243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t="s">
        <v>218</v>
      </c>
      <c r="B87" s="2">
        <v>100</v>
      </c>
      <c r="C87" s="2" t="s">
        <v>34</v>
      </c>
      <c r="D87" s="2" t="s">
        <v>31</v>
      </c>
      <c r="E87" s="2">
        <v>90</v>
      </c>
      <c r="F87">
        <v>1</v>
      </c>
      <c r="G87" t="b">
        <v>1</v>
      </c>
      <c r="H87">
        <v>0</v>
      </c>
      <c r="I87" t="s">
        <v>1211</v>
      </c>
      <c r="K87" t="s">
        <v>1243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219</v>
      </c>
      <c r="B88" s="2">
        <v>100</v>
      </c>
      <c r="C88" s="2" t="s">
        <v>20</v>
      </c>
      <c r="D88" s="2" t="s">
        <v>31</v>
      </c>
      <c r="E88" s="2">
        <v>80</v>
      </c>
      <c r="F88">
        <v>1</v>
      </c>
      <c r="G88" t="b">
        <v>1</v>
      </c>
      <c r="H88">
        <v>0</v>
      </c>
      <c r="I88" t="s">
        <v>1211</v>
      </c>
      <c r="K88" t="s">
        <v>1243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220</v>
      </c>
      <c r="B89" s="2">
        <v>70</v>
      </c>
      <c r="C89" s="2" t="s">
        <v>53</v>
      </c>
      <c r="D89" s="2" t="s">
        <v>31</v>
      </c>
      <c r="E89" s="2">
        <v>100</v>
      </c>
      <c r="F89">
        <v>1</v>
      </c>
      <c r="G89" t="b">
        <v>1</v>
      </c>
      <c r="H89">
        <v>0</v>
      </c>
      <c r="I89" t="s">
        <v>1211</v>
      </c>
      <c r="K89" t="s">
        <v>1243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t="s">
        <v>37</v>
      </c>
      <c r="B90" s="2">
        <v>80</v>
      </c>
      <c r="C90" s="2" t="s">
        <v>38</v>
      </c>
      <c r="D90" s="2" t="s">
        <v>31</v>
      </c>
      <c r="E90" s="2">
        <v>100</v>
      </c>
      <c r="F90">
        <v>1</v>
      </c>
      <c r="G90" t="b">
        <v>1</v>
      </c>
      <c r="H90">
        <v>0</v>
      </c>
      <c r="I90" t="s">
        <v>1211</v>
      </c>
      <c r="K90" t="s">
        <v>1243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t="s">
        <v>125</v>
      </c>
      <c r="B91" s="2">
        <v>75</v>
      </c>
      <c r="C91" s="2" t="s">
        <v>32</v>
      </c>
      <c r="D91" s="2" t="s">
        <v>31</v>
      </c>
      <c r="E91" s="2">
        <v>95</v>
      </c>
      <c r="F91">
        <v>1</v>
      </c>
      <c r="G91" t="b">
        <v>1</v>
      </c>
      <c r="H91">
        <v>0</v>
      </c>
      <c r="I91" t="s">
        <v>1211</v>
      </c>
      <c r="K91" t="s">
        <v>1243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221</v>
      </c>
      <c r="B92" s="2">
        <v>0</v>
      </c>
      <c r="C92" s="2" t="s">
        <v>32</v>
      </c>
      <c r="D92" s="2" t="s">
        <v>31</v>
      </c>
      <c r="E92" s="2">
        <v>100</v>
      </c>
      <c r="F92">
        <v>1</v>
      </c>
      <c r="G92" t="b">
        <v>1</v>
      </c>
      <c r="H92">
        <v>0</v>
      </c>
      <c r="I92" t="s">
        <v>1212</v>
      </c>
      <c r="J92" t="s">
        <v>1227</v>
      </c>
      <c r="K92" t="s">
        <v>1243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222</v>
      </c>
      <c r="B93" s="2">
        <v>50</v>
      </c>
      <c r="C93" s="2" t="s">
        <v>32</v>
      </c>
      <c r="D93" s="2" t="s">
        <v>31</v>
      </c>
      <c r="E93" s="2">
        <v>95</v>
      </c>
      <c r="F93">
        <v>1</v>
      </c>
      <c r="G93" t="b">
        <v>1</v>
      </c>
      <c r="H93">
        <v>0</v>
      </c>
      <c r="I93" t="s">
        <v>1211</v>
      </c>
      <c r="K93" t="s">
        <v>1243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223</v>
      </c>
      <c r="B94" s="2">
        <v>80</v>
      </c>
      <c r="C94" s="2" t="s">
        <v>38</v>
      </c>
      <c r="D94" s="2" t="s">
        <v>42</v>
      </c>
      <c r="E94" s="2">
        <v>100</v>
      </c>
      <c r="F94">
        <v>1</v>
      </c>
      <c r="G94" t="b">
        <v>0</v>
      </c>
      <c r="H94">
        <v>0</v>
      </c>
      <c r="I94" t="s">
        <v>1211</v>
      </c>
      <c r="K94" t="s">
        <v>1243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224</v>
      </c>
      <c r="B95" s="2">
        <v>85</v>
      </c>
      <c r="C95" s="2" t="s">
        <v>38</v>
      </c>
      <c r="D95" s="2" t="s">
        <v>31</v>
      </c>
      <c r="E95" s="2">
        <v>100</v>
      </c>
      <c r="F95">
        <v>1</v>
      </c>
      <c r="G95" t="b">
        <v>1</v>
      </c>
      <c r="H95">
        <v>0</v>
      </c>
      <c r="I95" t="s">
        <v>1211</v>
      </c>
      <c r="K95" t="s">
        <v>1243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t="s">
        <v>225</v>
      </c>
      <c r="B96" s="2">
        <v>80</v>
      </c>
      <c r="C96" s="2" t="s">
        <v>44</v>
      </c>
      <c r="D96" s="2" t="s">
        <v>42</v>
      </c>
      <c r="E96" s="2">
        <v>100</v>
      </c>
      <c r="F96">
        <v>1</v>
      </c>
      <c r="G96" t="b">
        <v>0</v>
      </c>
      <c r="H96">
        <v>0</v>
      </c>
      <c r="I96" t="s">
        <v>1211</v>
      </c>
      <c r="K96" t="s">
        <v>1243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226</v>
      </c>
      <c r="B97" s="2">
        <v>100</v>
      </c>
      <c r="C97" s="2" t="s">
        <v>25</v>
      </c>
      <c r="D97" s="2" t="s">
        <v>31</v>
      </c>
      <c r="E97" s="2">
        <v>95</v>
      </c>
      <c r="F97">
        <v>1</v>
      </c>
      <c r="G97" t="b">
        <v>0</v>
      </c>
      <c r="H97">
        <v>0</v>
      </c>
      <c r="I97" t="s">
        <v>1211</v>
      </c>
      <c r="K97" t="s">
        <v>1243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t="s">
        <v>227</v>
      </c>
      <c r="B98" s="2">
        <v>80</v>
      </c>
      <c r="C98" s="2" t="s">
        <v>23</v>
      </c>
      <c r="D98" s="2" t="s">
        <v>31</v>
      </c>
      <c r="E98" s="2">
        <v>100</v>
      </c>
      <c r="F98">
        <v>1</v>
      </c>
      <c r="G98" t="b">
        <v>1</v>
      </c>
      <c r="H98">
        <v>0</v>
      </c>
      <c r="I98" t="s">
        <v>1211</v>
      </c>
      <c r="K98" t="s">
        <v>1243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228</v>
      </c>
      <c r="B99" s="2">
        <v>80</v>
      </c>
      <c r="C99" s="2" t="s">
        <v>53</v>
      </c>
      <c r="D99" s="2" t="s">
        <v>31</v>
      </c>
      <c r="E99" s="2">
        <v>100</v>
      </c>
      <c r="F99">
        <v>1</v>
      </c>
      <c r="G99" t="b">
        <v>1</v>
      </c>
      <c r="H99">
        <v>0</v>
      </c>
      <c r="I99" t="s">
        <v>1211</v>
      </c>
      <c r="K99" t="s">
        <v>1243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t="s">
        <v>229</v>
      </c>
      <c r="B100" s="2">
        <v>40</v>
      </c>
      <c r="C100" s="2" t="s">
        <v>44</v>
      </c>
      <c r="D100" s="2" t="s">
        <v>42</v>
      </c>
      <c r="E100" s="2">
        <v>100</v>
      </c>
      <c r="F100">
        <v>1</v>
      </c>
      <c r="G100" t="b">
        <v>0</v>
      </c>
      <c r="H100">
        <v>0</v>
      </c>
      <c r="I100" t="s">
        <v>1211</v>
      </c>
      <c r="K100" t="s">
        <v>1243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230</v>
      </c>
      <c r="B101" s="2">
        <v>80</v>
      </c>
      <c r="C101" s="2" t="s">
        <v>41</v>
      </c>
      <c r="D101" s="2" t="s">
        <v>42</v>
      </c>
      <c r="E101" s="2">
        <v>100</v>
      </c>
      <c r="F101">
        <v>1</v>
      </c>
      <c r="G101" t="b">
        <v>0</v>
      </c>
      <c r="H101">
        <v>0</v>
      </c>
      <c r="I101" t="s">
        <v>1211</v>
      </c>
      <c r="K101" t="s">
        <v>1243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231</v>
      </c>
      <c r="B102" s="2">
        <v>80</v>
      </c>
      <c r="C102" s="2" t="s">
        <v>34</v>
      </c>
      <c r="D102" s="2" t="s">
        <v>31</v>
      </c>
      <c r="E102" s="2">
        <v>100</v>
      </c>
      <c r="F102">
        <v>1</v>
      </c>
      <c r="G102" t="b">
        <v>1</v>
      </c>
      <c r="H102">
        <v>0</v>
      </c>
      <c r="I102" t="s">
        <v>1211</v>
      </c>
      <c r="K102" t="s">
        <v>1243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232</v>
      </c>
      <c r="B103" s="2">
        <v>70</v>
      </c>
      <c r="C103" s="2" t="s">
        <v>32</v>
      </c>
      <c r="D103" s="2" t="s">
        <v>31</v>
      </c>
      <c r="E103" s="2">
        <v>100</v>
      </c>
      <c r="F103">
        <v>1</v>
      </c>
      <c r="G103" t="b">
        <v>1</v>
      </c>
      <c r="H103">
        <v>0</v>
      </c>
      <c r="I103" t="s">
        <v>1211</v>
      </c>
      <c r="K103" t="s">
        <v>1243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233</v>
      </c>
      <c r="B104" s="2">
        <v>140</v>
      </c>
      <c r="C104" s="2" t="s">
        <v>24</v>
      </c>
      <c r="D104" s="2" t="s">
        <v>42</v>
      </c>
      <c r="E104" s="2">
        <v>100</v>
      </c>
      <c r="F104">
        <v>1</v>
      </c>
      <c r="G104" t="b">
        <v>0</v>
      </c>
      <c r="H104">
        <v>0</v>
      </c>
      <c r="I104" t="s">
        <v>1211</v>
      </c>
      <c r="K104" t="s">
        <v>1246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234</v>
      </c>
      <c r="B105" s="2">
        <v>35</v>
      </c>
      <c r="C105" s="2" t="s">
        <v>32</v>
      </c>
      <c r="D105" s="2" t="s">
        <v>31</v>
      </c>
      <c r="E105" s="2">
        <v>90</v>
      </c>
      <c r="F105">
        <v>2</v>
      </c>
      <c r="G105" t="b">
        <v>1</v>
      </c>
      <c r="H105">
        <v>0</v>
      </c>
      <c r="I105" t="s">
        <v>1211</v>
      </c>
      <c r="K105" t="s">
        <v>1243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235</v>
      </c>
      <c r="B106" s="2">
        <v>60</v>
      </c>
      <c r="C106" s="2" t="s">
        <v>24</v>
      </c>
      <c r="D106" s="2" t="s">
        <v>31</v>
      </c>
      <c r="E106" s="2">
        <v>100</v>
      </c>
      <c r="F106">
        <v>1</v>
      </c>
      <c r="G106" t="b">
        <v>1</v>
      </c>
      <c r="H106">
        <v>0</v>
      </c>
      <c r="I106" t="s">
        <v>1211</v>
      </c>
      <c r="K106" t="s">
        <v>1243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97</v>
      </c>
      <c r="B107" s="2">
        <v>30</v>
      </c>
      <c r="C107" s="2" t="s">
        <v>20</v>
      </c>
      <c r="D107" s="2" t="s">
        <v>31</v>
      </c>
      <c r="E107" s="2">
        <v>100</v>
      </c>
      <c r="F107">
        <v>2</v>
      </c>
      <c r="G107" t="b">
        <v>1</v>
      </c>
      <c r="H107">
        <v>0</v>
      </c>
      <c r="I107" t="s">
        <v>1211</v>
      </c>
      <c r="K107" t="s">
        <v>1243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236</v>
      </c>
      <c r="B108" s="2">
        <v>15</v>
      </c>
      <c r="C108" s="2" t="s">
        <v>32</v>
      </c>
      <c r="D108" s="2" t="s">
        <v>31</v>
      </c>
      <c r="E108" s="2">
        <v>85</v>
      </c>
      <c r="F108">
        <v>1</v>
      </c>
      <c r="G108" t="b">
        <v>1</v>
      </c>
      <c r="H108">
        <v>0</v>
      </c>
      <c r="I108" t="s">
        <v>1211</v>
      </c>
      <c r="K108" t="s">
        <v>1243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237</v>
      </c>
      <c r="B109" s="2">
        <v>120</v>
      </c>
      <c r="C109" s="2" t="s">
        <v>32</v>
      </c>
      <c r="D109" s="2" t="s">
        <v>31</v>
      </c>
      <c r="E109" s="2">
        <v>100</v>
      </c>
      <c r="F109">
        <v>1</v>
      </c>
      <c r="G109" t="b">
        <v>1</v>
      </c>
      <c r="H109">
        <v>0</v>
      </c>
      <c r="I109" t="s">
        <v>1211</v>
      </c>
      <c r="K109" t="s">
        <v>1243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238</v>
      </c>
      <c r="B110" s="2">
        <v>130</v>
      </c>
      <c r="C110" s="2" t="s">
        <v>47</v>
      </c>
      <c r="D110" s="2" t="s">
        <v>42</v>
      </c>
      <c r="E110" s="2">
        <v>90</v>
      </c>
      <c r="F110">
        <v>1</v>
      </c>
      <c r="G110" t="b">
        <v>0</v>
      </c>
      <c r="H110">
        <v>0</v>
      </c>
      <c r="I110" t="s">
        <v>1211</v>
      </c>
      <c r="K110" t="s">
        <v>1243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239</v>
      </c>
      <c r="B111" s="2">
        <v>120</v>
      </c>
      <c r="C111" s="2" t="s">
        <v>35</v>
      </c>
      <c r="D111" s="2" t="s">
        <v>31</v>
      </c>
      <c r="E111" s="2">
        <v>100</v>
      </c>
      <c r="F111">
        <v>1</v>
      </c>
      <c r="G111" t="b">
        <v>1</v>
      </c>
      <c r="H111">
        <v>0</v>
      </c>
      <c r="I111" t="s">
        <v>1211</v>
      </c>
      <c r="K111" t="s">
        <v>1243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t="s">
        <v>240</v>
      </c>
      <c r="B112" s="2">
        <v>60</v>
      </c>
      <c r="C112" s="2" t="s">
        <v>47</v>
      </c>
      <c r="D112" s="2" t="s">
        <v>42</v>
      </c>
      <c r="E112" s="2">
        <v>100</v>
      </c>
      <c r="F112">
        <v>1</v>
      </c>
      <c r="G112" t="b">
        <v>0</v>
      </c>
      <c r="H112">
        <v>0</v>
      </c>
      <c r="I112" t="s">
        <v>1211</v>
      </c>
      <c r="K112" t="s">
        <v>1243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241</v>
      </c>
      <c r="B113" s="2">
        <v>80</v>
      </c>
      <c r="C113" s="2" t="s">
        <v>47</v>
      </c>
      <c r="D113" s="2" t="s">
        <v>31</v>
      </c>
      <c r="E113" s="2">
        <v>100</v>
      </c>
      <c r="F113">
        <v>1</v>
      </c>
      <c r="G113" t="b">
        <v>1</v>
      </c>
      <c r="H113">
        <v>0</v>
      </c>
      <c r="I113" t="s">
        <v>1211</v>
      </c>
      <c r="K113" t="s">
        <v>1243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t="s">
        <v>242</v>
      </c>
      <c r="B114" s="2">
        <v>50</v>
      </c>
      <c r="C114" s="2" t="s">
        <v>47</v>
      </c>
      <c r="D114" s="2" t="s">
        <v>31</v>
      </c>
      <c r="E114" s="2">
        <v>100</v>
      </c>
      <c r="F114">
        <v>1</v>
      </c>
      <c r="G114" t="b">
        <v>0</v>
      </c>
      <c r="H114">
        <v>0</v>
      </c>
      <c r="I114" t="s">
        <v>1211</v>
      </c>
      <c r="K114" t="s">
        <v>1243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t="s">
        <v>243</v>
      </c>
      <c r="B115" s="2">
        <v>150</v>
      </c>
      <c r="C115" s="2" t="s">
        <v>47</v>
      </c>
      <c r="D115" s="2" t="s">
        <v>42</v>
      </c>
      <c r="E115" s="2">
        <v>100</v>
      </c>
      <c r="F115">
        <v>1</v>
      </c>
      <c r="G115" t="b">
        <v>0</v>
      </c>
      <c r="H115">
        <v>0</v>
      </c>
      <c r="I115" t="s">
        <v>1211</v>
      </c>
      <c r="K115" t="s">
        <v>1243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244</v>
      </c>
      <c r="B116" s="2">
        <v>90</v>
      </c>
      <c r="C116" s="2" t="s">
        <v>47</v>
      </c>
      <c r="D116" s="2" t="s">
        <v>31</v>
      </c>
      <c r="E116" s="2">
        <v>100</v>
      </c>
      <c r="F116">
        <v>1</v>
      </c>
      <c r="G116" t="b">
        <v>1</v>
      </c>
      <c r="H116">
        <v>0</v>
      </c>
      <c r="I116" t="s">
        <v>1211</v>
      </c>
      <c r="K116" t="s">
        <v>1243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t="s">
        <v>245</v>
      </c>
      <c r="B117" s="2">
        <v>85</v>
      </c>
      <c r="C117" s="2" t="s">
        <v>47</v>
      </c>
      <c r="D117" s="2" t="s">
        <v>42</v>
      </c>
      <c r="E117" s="2">
        <v>100</v>
      </c>
      <c r="F117">
        <v>1</v>
      </c>
      <c r="G117" t="b">
        <v>0</v>
      </c>
      <c r="H117">
        <v>0</v>
      </c>
      <c r="I117" t="s">
        <v>1211</v>
      </c>
      <c r="K117" t="s">
        <v>1243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t="s">
        <v>246</v>
      </c>
      <c r="B118" s="2">
        <v>0</v>
      </c>
      <c r="C118" s="2" t="s">
        <v>47</v>
      </c>
      <c r="D118" s="2" t="s">
        <v>42</v>
      </c>
      <c r="E118" s="2">
        <v>100</v>
      </c>
      <c r="F118">
        <v>1</v>
      </c>
      <c r="G118" t="b">
        <v>0</v>
      </c>
      <c r="H118">
        <v>0</v>
      </c>
      <c r="I118" t="s">
        <v>1213</v>
      </c>
      <c r="J118" t="s">
        <v>1228</v>
      </c>
      <c r="K118" t="s">
        <v>1243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 t="s">
        <v>247</v>
      </c>
      <c r="B119" s="2">
        <v>100</v>
      </c>
      <c r="C119" s="2" t="s">
        <v>47</v>
      </c>
      <c r="D119" s="2" t="s">
        <v>31</v>
      </c>
      <c r="E119" s="2">
        <v>75</v>
      </c>
      <c r="F119">
        <v>1</v>
      </c>
      <c r="G119" t="b">
        <v>1</v>
      </c>
      <c r="H119">
        <v>0</v>
      </c>
      <c r="I119" t="s">
        <v>1211</v>
      </c>
      <c r="K119" t="s">
        <v>1243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t="s">
        <v>248</v>
      </c>
      <c r="B120" s="2">
        <v>60</v>
      </c>
      <c r="C120" s="2" t="s">
        <v>47</v>
      </c>
      <c r="D120" s="2" t="s">
        <v>31</v>
      </c>
      <c r="E120" s="2">
        <v>90</v>
      </c>
      <c r="F120">
        <v>1</v>
      </c>
      <c r="G120" t="b">
        <v>1</v>
      </c>
      <c r="H120">
        <v>-7</v>
      </c>
      <c r="I120" t="s">
        <v>1211</v>
      </c>
      <c r="K120" t="s">
        <v>1243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249</v>
      </c>
      <c r="B121" s="2">
        <v>75</v>
      </c>
      <c r="C121" s="2" t="s">
        <v>20</v>
      </c>
      <c r="D121" s="2" t="s">
        <v>31</v>
      </c>
      <c r="E121" s="2">
        <v>100</v>
      </c>
      <c r="F121">
        <v>1</v>
      </c>
      <c r="G121" t="b">
        <v>1</v>
      </c>
      <c r="H121">
        <v>0</v>
      </c>
      <c r="I121" t="s">
        <v>1211</v>
      </c>
      <c r="K121" t="s">
        <v>1243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250</v>
      </c>
      <c r="B122" s="2">
        <v>50</v>
      </c>
      <c r="C122" s="2" t="s">
        <v>44</v>
      </c>
      <c r="D122" s="2" t="s">
        <v>42</v>
      </c>
      <c r="E122" s="2">
        <v>100</v>
      </c>
      <c r="F122">
        <v>1</v>
      </c>
      <c r="G122" t="b">
        <v>1</v>
      </c>
      <c r="H122">
        <v>0</v>
      </c>
      <c r="I122" t="s">
        <v>1211</v>
      </c>
      <c r="K122" t="s">
        <v>1243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t="s">
        <v>251</v>
      </c>
      <c r="B123" s="2">
        <v>100</v>
      </c>
      <c r="C123" s="2" t="s">
        <v>22</v>
      </c>
      <c r="D123" s="2" t="s">
        <v>42</v>
      </c>
      <c r="E123" s="2">
        <v>100</v>
      </c>
      <c r="F123">
        <v>1</v>
      </c>
      <c r="G123" t="b">
        <v>0</v>
      </c>
      <c r="H123">
        <v>0</v>
      </c>
      <c r="I123" t="s">
        <v>1211</v>
      </c>
      <c r="K123" t="s">
        <v>1243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t="s">
        <v>252</v>
      </c>
      <c r="B124" s="2">
        <v>80</v>
      </c>
      <c r="C124" s="2" t="s">
        <v>35</v>
      </c>
      <c r="D124" s="2" t="s">
        <v>31</v>
      </c>
      <c r="E124" s="2">
        <v>100</v>
      </c>
      <c r="F124">
        <v>1</v>
      </c>
      <c r="G124" t="b">
        <v>1</v>
      </c>
      <c r="H124">
        <v>0</v>
      </c>
      <c r="I124" t="s">
        <v>1211</v>
      </c>
      <c r="K124" t="s">
        <v>1243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 t="s">
        <v>122</v>
      </c>
      <c r="B125" s="2">
        <v>80</v>
      </c>
      <c r="C125" s="2" t="s">
        <v>23</v>
      </c>
      <c r="D125" s="2" t="s">
        <v>31</v>
      </c>
      <c r="E125" s="2">
        <v>95</v>
      </c>
      <c r="F125">
        <v>1</v>
      </c>
      <c r="G125" t="b">
        <v>1</v>
      </c>
      <c r="H125">
        <v>0</v>
      </c>
      <c r="I125" t="s">
        <v>1211</v>
      </c>
      <c r="K125" t="s">
        <v>1243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t="s">
        <v>253</v>
      </c>
      <c r="B126" s="2">
        <v>80</v>
      </c>
      <c r="C126" s="2" t="s">
        <v>43</v>
      </c>
      <c r="D126" s="2" t="s">
        <v>31</v>
      </c>
      <c r="E126" s="2">
        <v>100</v>
      </c>
      <c r="F126">
        <v>1</v>
      </c>
      <c r="G126" t="b">
        <v>0</v>
      </c>
      <c r="H126">
        <v>0</v>
      </c>
      <c r="I126" t="s">
        <v>1211</v>
      </c>
      <c r="K126" t="s">
        <v>1243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t="s">
        <v>254</v>
      </c>
      <c r="B127" s="2">
        <v>40</v>
      </c>
      <c r="C127" s="2" t="s">
        <v>47</v>
      </c>
      <c r="D127" s="2" t="s">
        <v>31</v>
      </c>
      <c r="E127" s="2">
        <v>90</v>
      </c>
      <c r="F127">
        <v>1</v>
      </c>
      <c r="G127" t="b">
        <v>1</v>
      </c>
      <c r="H127">
        <v>0</v>
      </c>
      <c r="I127" t="s">
        <v>1211</v>
      </c>
      <c r="K127" t="s">
        <v>1243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255</v>
      </c>
      <c r="B128" s="2">
        <v>40</v>
      </c>
      <c r="C128" s="2" t="s">
        <v>35</v>
      </c>
      <c r="D128" s="2" t="s">
        <v>31</v>
      </c>
      <c r="E128" s="2">
        <v>90</v>
      </c>
      <c r="F128">
        <v>1</v>
      </c>
      <c r="G128" t="b">
        <v>1</v>
      </c>
      <c r="H128">
        <v>0</v>
      </c>
      <c r="I128" t="s">
        <v>1211</v>
      </c>
      <c r="K128" t="s">
        <v>1243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256</v>
      </c>
      <c r="B129" s="2">
        <v>100</v>
      </c>
      <c r="C129" s="2" t="s">
        <v>47</v>
      </c>
      <c r="D129" s="2" t="s">
        <v>42</v>
      </c>
      <c r="E129" s="2">
        <v>100</v>
      </c>
      <c r="F129">
        <v>1</v>
      </c>
      <c r="G129" t="b">
        <v>0</v>
      </c>
      <c r="H129">
        <v>0</v>
      </c>
      <c r="I129" t="s">
        <v>1211</v>
      </c>
      <c r="K129" t="s">
        <v>1243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t="s">
        <v>257</v>
      </c>
      <c r="B130" s="2">
        <v>100</v>
      </c>
      <c r="C130" s="2" t="s">
        <v>20</v>
      </c>
      <c r="D130" s="2" t="s">
        <v>31</v>
      </c>
      <c r="E130" s="2">
        <v>50</v>
      </c>
      <c r="F130">
        <v>1</v>
      </c>
      <c r="G130" t="b">
        <v>1</v>
      </c>
      <c r="H130">
        <v>0</v>
      </c>
      <c r="I130" t="s">
        <v>1211</v>
      </c>
      <c r="K130" t="s">
        <v>1243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 t="s">
        <v>258</v>
      </c>
      <c r="B131" s="2">
        <v>90</v>
      </c>
      <c r="C131" s="2" t="s">
        <v>23</v>
      </c>
      <c r="D131" s="2" t="s">
        <v>42</v>
      </c>
      <c r="E131" s="2">
        <v>100</v>
      </c>
      <c r="F131">
        <v>1</v>
      </c>
      <c r="G131" t="b">
        <v>0</v>
      </c>
      <c r="H131">
        <v>0</v>
      </c>
      <c r="I131" t="s">
        <v>1211</v>
      </c>
      <c r="K131" t="s">
        <v>1243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 t="s">
        <v>259</v>
      </c>
      <c r="B132" s="2">
        <v>100</v>
      </c>
      <c r="C132" s="2" t="s">
        <v>23</v>
      </c>
      <c r="D132" s="2" t="s">
        <v>31</v>
      </c>
      <c r="E132" s="2">
        <v>100</v>
      </c>
      <c r="F132">
        <v>1</v>
      </c>
      <c r="G132" t="b">
        <v>0</v>
      </c>
      <c r="H132">
        <v>0</v>
      </c>
      <c r="I132" t="s">
        <v>1211</v>
      </c>
      <c r="K132" t="s">
        <v>1243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t="s">
        <v>260</v>
      </c>
      <c r="B133" s="2">
        <v>40</v>
      </c>
      <c r="C133" s="2" t="s">
        <v>32</v>
      </c>
      <c r="D133" s="2" t="s">
        <v>42</v>
      </c>
      <c r="E133" s="2">
        <v>100</v>
      </c>
      <c r="F133">
        <v>1</v>
      </c>
      <c r="G133" t="b">
        <v>0</v>
      </c>
      <c r="H133">
        <v>0</v>
      </c>
      <c r="I133" t="s">
        <v>1211</v>
      </c>
      <c r="K133" t="s">
        <v>1243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t="s">
        <v>261</v>
      </c>
      <c r="B134" s="2">
        <v>80</v>
      </c>
      <c r="C134" s="2" t="s">
        <v>22</v>
      </c>
      <c r="D134" s="2" t="s">
        <v>42</v>
      </c>
      <c r="E134" s="2">
        <v>100</v>
      </c>
      <c r="F134">
        <v>1</v>
      </c>
      <c r="G134" t="b">
        <v>0</v>
      </c>
      <c r="H134">
        <v>0</v>
      </c>
      <c r="I134" t="s">
        <v>1211</v>
      </c>
      <c r="K134" t="s">
        <v>1243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262</v>
      </c>
      <c r="B135" s="2">
        <v>100</v>
      </c>
      <c r="C135" s="2" t="s">
        <v>32</v>
      </c>
      <c r="D135" s="2" t="s">
        <v>31</v>
      </c>
      <c r="E135" s="2">
        <v>75</v>
      </c>
      <c r="F135">
        <v>1</v>
      </c>
      <c r="G135" t="b">
        <v>0</v>
      </c>
      <c r="H135">
        <v>0</v>
      </c>
      <c r="I135" t="s">
        <v>1211</v>
      </c>
      <c r="K135" t="s">
        <v>1243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 t="s">
        <v>263</v>
      </c>
      <c r="B136" s="2">
        <v>0</v>
      </c>
      <c r="C136" s="2" t="s">
        <v>41</v>
      </c>
      <c r="D136" s="2" t="s">
        <v>42</v>
      </c>
      <c r="E136" s="2">
        <v>100</v>
      </c>
      <c r="F136">
        <v>1</v>
      </c>
      <c r="G136" t="b">
        <v>0</v>
      </c>
      <c r="H136">
        <v>0</v>
      </c>
      <c r="I136" t="s">
        <v>1212</v>
      </c>
      <c r="J136" t="s">
        <v>1227</v>
      </c>
      <c r="K136" t="s">
        <v>1243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264</v>
      </c>
      <c r="B137" s="2">
        <v>55</v>
      </c>
      <c r="C137" s="2" t="s">
        <v>41</v>
      </c>
      <c r="D137" s="2" t="s">
        <v>42</v>
      </c>
      <c r="E137" s="2">
        <v>95</v>
      </c>
      <c r="F137">
        <v>1</v>
      </c>
      <c r="G137" t="b">
        <v>0</v>
      </c>
      <c r="H137">
        <v>0</v>
      </c>
      <c r="I137" t="s">
        <v>1211</v>
      </c>
      <c r="K137" t="s">
        <v>1243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265</v>
      </c>
      <c r="B138" s="2">
        <v>40</v>
      </c>
      <c r="C138" s="2" t="s">
        <v>19</v>
      </c>
      <c r="D138" s="2" t="s">
        <v>42</v>
      </c>
      <c r="E138" s="2">
        <v>100</v>
      </c>
      <c r="F138">
        <v>1</v>
      </c>
      <c r="G138" t="b">
        <v>0</v>
      </c>
      <c r="H138">
        <v>0</v>
      </c>
      <c r="I138" t="s">
        <v>1211</v>
      </c>
      <c r="K138" t="s">
        <v>1243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t="s">
        <v>266</v>
      </c>
      <c r="B139" s="2">
        <v>0</v>
      </c>
      <c r="C139" s="2" t="s">
        <v>32</v>
      </c>
      <c r="D139" s="2" t="s">
        <v>31</v>
      </c>
      <c r="E139" s="2">
        <v>100</v>
      </c>
      <c r="F139">
        <v>1</v>
      </c>
      <c r="G139" t="b">
        <v>0</v>
      </c>
      <c r="H139">
        <v>0</v>
      </c>
      <c r="I139" t="s">
        <v>1213</v>
      </c>
      <c r="J139" t="s">
        <v>1228</v>
      </c>
      <c r="K139" t="s">
        <v>1243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t="s">
        <v>267</v>
      </c>
      <c r="B140" s="2">
        <v>90</v>
      </c>
      <c r="C140" s="2" t="s">
        <v>43</v>
      </c>
      <c r="D140" s="2" t="s">
        <v>42</v>
      </c>
      <c r="E140" s="2">
        <v>100</v>
      </c>
      <c r="F140">
        <v>1</v>
      </c>
      <c r="G140" t="b">
        <v>0</v>
      </c>
      <c r="H140">
        <v>0</v>
      </c>
      <c r="I140" t="s">
        <v>1211</v>
      </c>
      <c r="K140" t="s">
        <v>1243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268</v>
      </c>
      <c r="B141" s="2">
        <v>150</v>
      </c>
      <c r="C141" s="2" t="s">
        <v>19</v>
      </c>
      <c r="D141" s="2" t="s">
        <v>42</v>
      </c>
      <c r="E141" s="2">
        <v>100</v>
      </c>
      <c r="F141">
        <v>1</v>
      </c>
      <c r="G141" t="b">
        <v>0</v>
      </c>
      <c r="H141">
        <v>0</v>
      </c>
      <c r="I141" t="s">
        <v>1212</v>
      </c>
      <c r="J141" t="s">
        <v>1227</v>
      </c>
      <c r="K141" t="s">
        <v>1243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269</v>
      </c>
      <c r="B142" s="2">
        <v>80</v>
      </c>
      <c r="C142" s="2" t="s">
        <v>22</v>
      </c>
      <c r="D142" s="2" t="s">
        <v>42</v>
      </c>
      <c r="E142" s="2">
        <v>100</v>
      </c>
      <c r="F142">
        <v>1</v>
      </c>
      <c r="G142" t="b">
        <v>0</v>
      </c>
      <c r="H142">
        <v>0</v>
      </c>
      <c r="I142" t="s">
        <v>1211</v>
      </c>
      <c r="K142" t="s">
        <v>1243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270</v>
      </c>
      <c r="B143" s="2">
        <v>160</v>
      </c>
      <c r="C143" s="2" t="s">
        <v>47</v>
      </c>
      <c r="D143" s="2" t="s">
        <v>42</v>
      </c>
      <c r="E143" s="2">
        <v>90</v>
      </c>
      <c r="F143">
        <v>1</v>
      </c>
      <c r="G143" t="b">
        <v>0</v>
      </c>
      <c r="H143">
        <v>0</v>
      </c>
      <c r="I143" t="s">
        <v>1211</v>
      </c>
      <c r="K143" t="s">
        <v>1243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t="s">
        <v>271</v>
      </c>
      <c r="B144" s="2">
        <v>80</v>
      </c>
      <c r="C144" s="2" t="s">
        <v>22</v>
      </c>
      <c r="D144" s="2" t="s">
        <v>42</v>
      </c>
      <c r="E144" s="2">
        <v>100</v>
      </c>
      <c r="F144">
        <v>1</v>
      </c>
      <c r="G144" t="b">
        <v>0</v>
      </c>
      <c r="H144">
        <v>0</v>
      </c>
      <c r="I144" t="s">
        <v>1212</v>
      </c>
      <c r="J144" t="s">
        <v>1227</v>
      </c>
      <c r="K144" t="s">
        <v>1243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t="s">
        <v>272</v>
      </c>
      <c r="B145" s="2">
        <v>250</v>
      </c>
      <c r="C145" s="2" t="s">
        <v>32</v>
      </c>
      <c r="D145" s="2" t="s">
        <v>31</v>
      </c>
      <c r="E145" s="2">
        <v>100</v>
      </c>
      <c r="F145">
        <v>1</v>
      </c>
      <c r="G145" t="b">
        <v>0</v>
      </c>
      <c r="H145">
        <v>0</v>
      </c>
      <c r="I145" t="s">
        <v>1211</v>
      </c>
      <c r="K145" t="s">
        <v>1243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273</v>
      </c>
      <c r="B146" s="2">
        <v>80</v>
      </c>
      <c r="C146" s="2" t="s">
        <v>22</v>
      </c>
      <c r="D146" s="2" t="s">
        <v>42</v>
      </c>
      <c r="E146" s="2">
        <v>100</v>
      </c>
      <c r="F146">
        <v>1</v>
      </c>
      <c r="G146" t="b">
        <v>0</v>
      </c>
      <c r="H146">
        <v>0</v>
      </c>
      <c r="I146" t="s">
        <v>1211</v>
      </c>
      <c r="K146" t="s">
        <v>1243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274</v>
      </c>
      <c r="B147" s="2">
        <v>80</v>
      </c>
      <c r="C147" s="2" t="s">
        <v>32</v>
      </c>
      <c r="D147" s="2" t="s">
        <v>31</v>
      </c>
      <c r="E147" s="2">
        <v>100</v>
      </c>
      <c r="F147">
        <v>1</v>
      </c>
      <c r="G147" t="b">
        <v>1</v>
      </c>
      <c r="H147">
        <v>2</v>
      </c>
      <c r="I147" t="s">
        <v>1211</v>
      </c>
      <c r="K147" t="s">
        <v>1243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 t="s">
        <v>275</v>
      </c>
      <c r="B148" s="2">
        <v>70</v>
      </c>
      <c r="C148" s="2" t="s">
        <v>32</v>
      </c>
      <c r="D148" s="2" t="s">
        <v>31</v>
      </c>
      <c r="E148" s="2">
        <v>100</v>
      </c>
      <c r="F148">
        <v>1</v>
      </c>
      <c r="G148" t="b">
        <v>1</v>
      </c>
      <c r="H148">
        <v>0</v>
      </c>
      <c r="I148" t="s">
        <v>1212</v>
      </c>
      <c r="J148" t="s">
        <v>1227</v>
      </c>
      <c r="K148" t="s">
        <v>1305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 t="s">
        <v>276</v>
      </c>
      <c r="B149" s="2">
        <v>40</v>
      </c>
      <c r="C149" s="2" t="s">
        <v>44</v>
      </c>
      <c r="D149" s="2" t="s">
        <v>42</v>
      </c>
      <c r="E149" s="2">
        <v>100</v>
      </c>
      <c r="F149">
        <v>1</v>
      </c>
      <c r="G149" t="b">
        <v>0</v>
      </c>
      <c r="H149">
        <v>0</v>
      </c>
      <c r="I149" t="s">
        <v>1211</v>
      </c>
      <c r="K149" t="s">
        <v>1243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277</v>
      </c>
      <c r="B150" s="2">
        <v>40</v>
      </c>
      <c r="C150" s="2" t="s">
        <v>32</v>
      </c>
      <c r="D150" s="2" t="s">
        <v>31</v>
      </c>
      <c r="E150" s="2">
        <v>100</v>
      </c>
      <c r="F150">
        <v>1</v>
      </c>
      <c r="G150" t="b">
        <v>1</v>
      </c>
      <c r="H150">
        <v>3</v>
      </c>
      <c r="I150" t="s">
        <v>1211</v>
      </c>
      <c r="K150" t="s">
        <v>1247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278</v>
      </c>
      <c r="B151" s="2">
        <v>80</v>
      </c>
      <c r="C151" s="2" t="s">
        <v>38</v>
      </c>
      <c r="D151" s="2" t="s">
        <v>31</v>
      </c>
      <c r="E151" s="2">
        <v>100</v>
      </c>
      <c r="F151">
        <v>1</v>
      </c>
      <c r="G151" t="b">
        <v>1</v>
      </c>
      <c r="H151">
        <v>0</v>
      </c>
      <c r="I151" t="s">
        <v>1211</v>
      </c>
      <c r="K151" t="s">
        <v>1243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279</v>
      </c>
      <c r="B152" s="2">
        <v>40</v>
      </c>
      <c r="C152" s="2" t="s">
        <v>32</v>
      </c>
      <c r="D152" s="2" t="s">
        <v>31</v>
      </c>
      <c r="E152" s="2">
        <v>100</v>
      </c>
      <c r="F152">
        <v>1</v>
      </c>
      <c r="G152" t="b">
        <v>1</v>
      </c>
      <c r="H152">
        <v>0</v>
      </c>
      <c r="I152" t="s">
        <v>1211</v>
      </c>
      <c r="K152" t="s">
        <v>1243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280</v>
      </c>
      <c r="B153" s="2">
        <v>30</v>
      </c>
      <c r="C153" s="2" t="s">
        <v>32</v>
      </c>
      <c r="D153" s="2" t="s">
        <v>31</v>
      </c>
      <c r="E153" s="2">
        <v>100</v>
      </c>
      <c r="F153">
        <v>1</v>
      </c>
      <c r="G153" t="b">
        <v>0</v>
      </c>
      <c r="H153">
        <v>2</v>
      </c>
      <c r="I153" t="s">
        <v>1211</v>
      </c>
      <c r="K153" t="s">
        <v>1243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281</v>
      </c>
      <c r="B154" s="2">
        <v>60</v>
      </c>
      <c r="C154" s="2" t="s">
        <v>38</v>
      </c>
      <c r="D154" s="2" t="s">
        <v>31</v>
      </c>
      <c r="E154" s="2">
        <v>100</v>
      </c>
      <c r="F154">
        <v>1</v>
      </c>
      <c r="G154" t="b">
        <v>1</v>
      </c>
      <c r="H154">
        <v>0</v>
      </c>
      <c r="I154" t="s">
        <v>1211</v>
      </c>
      <c r="K154" t="s">
        <v>1243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282</v>
      </c>
      <c r="B155" s="2">
        <v>50</v>
      </c>
      <c r="C155" s="2" t="s">
        <v>21</v>
      </c>
      <c r="D155" s="2" t="s">
        <v>31</v>
      </c>
      <c r="E155" s="2">
        <v>100</v>
      </c>
      <c r="F155">
        <v>1</v>
      </c>
      <c r="G155" t="b">
        <v>1</v>
      </c>
      <c r="H155">
        <v>0</v>
      </c>
      <c r="I155" t="s">
        <v>1211</v>
      </c>
      <c r="K155" t="s">
        <v>1243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283</v>
      </c>
      <c r="B156" s="2">
        <v>80</v>
      </c>
      <c r="C156" s="2" t="s">
        <v>19</v>
      </c>
      <c r="D156" s="2" t="s">
        <v>42</v>
      </c>
      <c r="E156" s="2">
        <v>100</v>
      </c>
      <c r="F156">
        <v>1</v>
      </c>
      <c r="G156" t="b">
        <v>0</v>
      </c>
      <c r="H156">
        <v>0</v>
      </c>
      <c r="I156" t="s">
        <v>1211</v>
      </c>
      <c r="K156" t="s">
        <v>1243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 t="s">
        <v>284</v>
      </c>
      <c r="B157" s="2">
        <v>90</v>
      </c>
      <c r="C157" s="2" t="s">
        <v>38</v>
      </c>
      <c r="D157" s="2" t="s">
        <v>42</v>
      </c>
      <c r="E157" s="2">
        <v>100</v>
      </c>
      <c r="F157">
        <v>1</v>
      </c>
      <c r="G157" t="b">
        <v>0</v>
      </c>
      <c r="H157">
        <v>0</v>
      </c>
      <c r="I157" t="s">
        <v>1211</v>
      </c>
      <c r="K157" t="s">
        <v>1243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285</v>
      </c>
      <c r="B158" s="2">
        <v>0</v>
      </c>
      <c r="C158" s="2" t="s">
        <v>20</v>
      </c>
      <c r="D158" s="2" t="s">
        <v>42</v>
      </c>
      <c r="E158" s="2">
        <v>100</v>
      </c>
      <c r="F158">
        <v>1</v>
      </c>
      <c r="G158" t="b">
        <v>0</v>
      </c>
      <c r="H158">
        <v>0</v>
      </c>
      <c r="I158" t="s">
        <v>1213</v>
      </c>
      <c r="J158" t="s">
        <v>1228</v>
      </c>
      <c r="K158" t="s">
        <v>1243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286</v>
      </c>
      <c r="B159" s="2">
        <v>110</v>
      </c>
      <c r="C159" s="2" t="s">
        <v>19</v>
      </c>
      <c r="D159" s="2" t="s">
        <v>42</v>
      </c>
      <c r="E159" s="2">
        <v>85</v>
      </c>
      <c r="F159">
        <v>1</v>
      </c>
      <c r="G159" t="b">
        <v>0</v>
      </c>
      <c r="H159">
        <v>0</v>
      </c>
      <c r="I159" t="s">
        <v>1211</v>
      </c>
      <c r="K159" t="s">
        <v>1243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287</v>
      </c>
      <c r="B160" s="2">
        <v>65</v>
      </c>
      <c r="C160" s="2" t="s">
        <v>19</v>
      </c>
      <c r="D160" s="2" t="s">
        <v>31</v>
      </c>
      <c r="E160" s="2">
        <v>95</v>
      </c>
      <c r="F160">
        <v>1</v>
      </c>
      <c r="G160" t="b">
        <v>1</v>
      </c>
      <c r="H160">
        <v>0</v>
      </c>
      <c r="I160" t="s">
        <v>1211</v>
      </c>
      <c r="K160" t="s">
        <v>1243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288</v>
      </c>
      <c r="B161" s="2">
        <v>80</v>
      </c>
      <c r="C161" s="2" t="s">
        <v>19</v>
      </c>
      <c r="D161" s="2" t="s">
        <v>31</v>
      </c>
      <c r="E161" s="2">
        <v>100</v>
      </c>
      <c r="F161">
        <v>1</v>
      </c>
      <c r="G161" t="b">
        <v>1</v>
      </c>
      <c r="H161">
        <v>0</v>
      </c>
      <c r="I161" t="s">
        <v>1211</v>
      </c>
      <c r="K161" t="s">
        <v>1243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 t="s">
        <v>289</v>
      </c>
      <c r="B162" s="2">
        <v>80</v>
      </c>
      <c r="C162" s="2" t="s">
        <v>19</v>
      </c>
      <c r="D162" s="2" t="s">
        <v>42</v>
      </c>
      <c r="E162" s="2">
        <v>100</v>
      </c>
      <c r="F162">
        <v>1</v>
      </c>
      <c r="G162" t="b">
        <v>0</v>
      </c>
      <c r="H162">
        <v>0</v>
      </c>
      <c r="I162" t="s">
        <v>1211</v>
      </c>
      <c r="K162" t="s">
        <v>1243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 t="s">
        <v>290</v>
      </c>
      <c r="B163" s="2">
        <v>75</v>
      </c>
      <c r="C163" s="2" t="s">
        <v>19</v>
      </c>
      <c r="D163" s="2" t="s">
        <v>31</v>
      </c>
      <c r="E163" s="2">
        <v>100</v>
      </c>
      <c r="F163">
        <v>1</v>
      </c>
      <c r="G163" t="b">
        <v>1</v>
      </c>
      <c r="H163">
        <v>0</v>
      </c>
      <c r="I163" t="s">
        <v>1211</v>
      </c>
      <c r="K163" t="s">
        <v>1243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 t="s">
        <v>291</v>
      </c>
      <c r="B164" s="2">
        <v>35</v>
      </c>
      <c r="C164" s="2" t="s">
        <v>19</v>
      </c>
      <c r="D164" s="2" t="s">
        <v>42</v>
      </c>
      <c r="E164" s="2">
        <v>85</v>
      </c>
      <c r="F164">
        <v>1</v>
      </c>
      <c r="G164" t="b">
        <v>0</v>
      </c>
      <c r="H164">
        <v>0</v>
      </c>
      <c r="I164" t="s">
        <v>1211</v>
      </c>
      <c r="K164" t="s">
        <v>1243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101</v>
      </c>
      <c r="B165" s="2">
        <v>90</v>
      </c>
      <c r="C165" s="2" t="s">
        <v>21</v>
      </c>
      <c r="D165" s="2" t="s">
        <v>31</v>
      </c>
      <c r="E165" s="2">
        <v>100</v>
      </c>
      <c r="F165">
        <v>1</v>
      </c>
      <c r="G165" t="b">
        <v>1</v>
      </c>
      <c r="H165">
        <v>2</v>
      </c>
      <c r="I165" t="s">
        <v>1211</v>
      </c>
      <c r="K165" t="s">
        <v>1247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t="s">
        <v>292</v>
      </c>
      <c r="B166" s="2">
        <v>85</v>
      </c>
      <c r="C166" s="2" t="s">
        <v>34</v>
      </c>
      <c r="D166" s="2" t="s">
        <v>31</v>
      </c>
      <c r="E166" s="2">
        <v>100</v>
      </c>
      <c r="F166">
        <v>1</v>
      </c>
      <c r="G166" t="b">
        <v>1</v>
      </c>
      <c r="H166">
        <v>0</v>
      </c>
      <c r="I166" t="s">
        <v>1211</v>
      </c>
      <c r="K166" t="s">
        <v>1243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 t="s">
        <v>293</v>
      </c>
      <c r="B167" s="2">
        <v>0</v>
      </c>
      <c r="C167" s="2" t="s">
        <v>23</v>
      </c>
      <c r="D167" s="2" t="s">
        <v>31</v>
      </c>
      <c r="E167" s="2">
        <v>30</v>
      </c>
      <c r="F167">
        <v>1</v>
      </c>
      <c r="G167" t="b">
        <v>0</v>
      </c>
      <c r="H167">
        <v>0</v>
      </c>
      <c r="I167" t="s">
        <v>1215</v>
      </c>
      <c r="J167" t="s">
        <v>1229</v>
      </c>
      <c r="K167" t="s">
        <v>1243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294</v>
      </c>
      <c r="B168" s="2">
        <v>0</v>
      </c>
      <c r="C168" s="2" t="s">
        <v>32</v>
      </c>
      <c r="D168" s="2" t="s">
        <v>31</v>
      </c>
      <c r="E168" s="2">
        <v>100</v>
      </c>
      <c r="F168">
        <v>1</v>
      </c>
      <c r="G168" t="b">
        <v>1</v>
      </c>
      <c r="H168">
        <v>0</v>
      </c>
      <c r="I168" t="s">
        <v>1212</v>
      </c>
      <c r="J168" t="s">
        <v>1227</v>
      </c>
      <c r="K168" t="s">
        <v>1243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295</v>
      </c>
      <c r="B169" s="2">
        <v>70</v>
      </c>
      <c r="C169" s="2" t="s">
        <v>19</v>
      </c>
      <c r="D169" s="2" t="s">
        <v>42</v>
      </c>
      <c r="E169" s="2">
        <v>100</v>
      </c>
      <c r="F169">
        <v>1</v>
      </c>
      <c r="G169" t="b">
        <v>0</v>
      </c>
      <c r="H169">
        <v>0</v>
      </c>
      <c r="I169" t="s">
        <v>1211</v>
      </c>
      <c r="K169" t="s">
        <v>1243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 t="s">
        <v>96</v>
      </c>
      <c r="B170" s="2">
        <v>50</v>
      </c>
      <c r="C170" s="2" t="s">
        <v>19</v>
      </c>
      <c r="D170" s="2" t="s">
        <v>31</v>
      </c>
      <c r="E170" s="2">
        <v>100</v>
      </c>
      <c r="F170">
        <v>1</v>
      </c>
      <c r="G170" t="b">
        <v>1</v>
      </c>
      <c r="H170">
        <v>0</v>
      </c>
      <c r="I170" t="s">
        <v>1211</v>
      </c>
      <c r="K170" t="s">
        <v>1243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 t="s">
        <v>296</v>
      </c>
      <c r="B171" s="2">
        <v>60</v>
      </c>
      <c r="C171" s="2" t="s">
        <v>19</v>
      </c>
      <c r="D171" s="2" t="s">
        <v>31</v>
      </c>
      <c r="E171" s="2">
        <v>100</v>
      </c>
      <c r="F171">
        <v>1</v>
      </c>
      <c r="G171" t="b">
        <v>1</v>
      </c>
      <c r="H171">
        <v>0</v>
      </c>
      <c r="I171" t="s">
        <v>1211</v>
      </c>
      <c r="K171" t="s">
        <v>1243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 t="s">
        <v>297</v>
      </c>
      <c r="B172" s="2">
        <v>90</v>
      </c>
      <c r="C172" s="2" t="s">
        <v>19</v>
      </c>
      <c r="D172" s="2" t="s">
        <v>42</v>
      </c>
      <c r="E172" s="2">
        <v>100</v>
      </c>
      <c r="F172">
        <v>1</v>
      </c>
      <c r="G172" t="b">
        <v>0</v>
      </c>
      <c r="H172">
        <v>0</v>
      </c>
      <c r="I172" t="s">
        <v>1211</v>
      </c>
      <c r="K172" t="s">
        <v>1243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 t="s">
        <v>298</v>
      </c>
      <c r="B173" s="2">
        <v>120</v>
      </c>
      <c r="C173" s="2" t="s">
        <v>19</v>
      </c>
      <c r="D173" s="2" t="s">
        <v>31</v>
      </c>
      <c r="E173" s="2">
        <v>100</v>
      </c>
      <c r="F173">
        <v>1</v>
      </c>
      <c r="G173" t="b">
        <v>1</v>
      </c>
      <c r="H173">
        <v>0</v>
      </c>
      <c r="I173" t="s">
        <v>1211</v>
      </c>
      <c r="K173" t="s">
        <v>1243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 t="s">
        <v>299</v>
      </c>
      <c r="B174" s="2">
        <v>80</v>
      </c>
      <c r="C174" s="2" t="s">
        <v>24</v>
      </c>
      <c r="D174" s="2" t="s">
        <v>42</v>
      </c>
      <c r="E174" s="2">
        <v>100</v>
      </c>
      <c r="F174">
        <v>1</v>
      </c>
      <c r="G174" t="b">
        <v>0</v>
      </c>
      <c r="H174">
        <v>0</v>
      </c>
      <c r="I174" t="s">
        <v>1211</v>
      </c>
      <c r="K174" t="s">
        <v>1243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 t="s">
        <v>300</v>
      </c>
      <c r="B175" s="2">
        <v>130</v>
      </c>
      <c r="C175" s="2" t="s">
        <v>44</v>
      </c>
      <c r="D175" s="2" t="s">
        <v>42</v>
      </c>
      <c r="E175" s="2">
        <v>90</v>
      </c>
      <c r="F175">
        <v>1</v>
      </c>
      <c r="G175" t="b">
        <v>0</v>
      </c>
      <c r="H175">
        <v>0</v>
      </c>
      <c r="I175" t="s">
        <v>1211</v>
      </c>
      <c r="K175" t="s">
        <v>1243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 t="s">
        <v>301</v>
      </c>
      <c r="B176" s="2">
        <v>0</v>
      </c>
      <c r="C176" s="2" t="s">
        <v>38</v>
      </c>
      <c r="D176" s="2" t="s">
        <v>31</v>
      </c>
      <c r="E176" s="2">
        <v>100</v>
      </c>
      <c r="F176">
        <v>1</v>
      </c>
      <c r="G176" t="b">
        <v>0</v>
      </c>
      <c r="H176">
        <v>0</v>
      </c>
      <c r="I176" t="s">
        <v>1212</v>
      </c>
      <c r="J176" t="s">
        <v>1227</v>
      </c>
      <c r="K176" t="s">
        <v>1243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 t="s">
        <v>302</v>
      </c>
      <c r="B177" s="2">
        <v>60</v>
      </c>
      <c r="C177" s="2" t="s">
        <v>34</v>
      </c>
      <c r="D177" s="2" t="s">
        <v>31</v>
      </c>
      <c r="E177" s="2">
        <v>100</v>
      </c>
      <c r="F177">
        <v>1</v>
      </c>
      <c r="G177" t="b">
        <v>1</v>
      </c>
      <c r="H177">
        <v>0</v>
      </c>
      <c r="I177" t="s">
        <v>1211</v>
      </c>
      <c r="K177" t="s">
        <v>1243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303</v>
      </c>
      <c r="B178" s="2">
        <v>90</v>
      </c>
      <c r="C178" s="2" t="s">
        <v>35</v>
      </c>
      <c r="D178" s="2" t="s">
        <v>31</v>
      </c>
      <c r="E178" s="2">
        <v>95</v>
      </c>
      <c r="F178">
        <v>1</v>
      </c>
      <c r="G178" t="b">
        <v>1</v>
      </c>
      <c r="H178">
        <v>0</v>
      </c>
      <c r="I178" t="s">
        <v>1211</v>
      </c>
      <c r="K178" t="s">
        <v>1243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304</v>
      </c>
      <c r="B179" s="2">
        <v>90</v>
      </c>
      <c r="C179" s="2" t="s">
        <v>35</v>
      </c>
      <c r="D179" s="2" t="s">
        <v>31</v>
      </c>
      <c r="E179" s="2">
        <v>95</v>
      </c>
      <c r="F179">
        <v>1</v>
      </c>
      <c r="G179" t="b">
        <v>1</v>
      </c>
      <c r="H179">
        <v>0</v>
      </c>
      <c r="I179" t="s">
        <v>1211</v>
      </c>
      <c r="K179" t="s">
        <v>1243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305</v>
      </c>
      <c r="B180" s="2">
        <v>100</v>
      </c>
      <c r="C180" s="2" t="s">
        <v>20</v>
      </c>
      <c r="D180" s="2" t="s">
        <v>31</v>
      </c>
      <c r="E180" s="2">
        <v>95</v>
      </c>
      <c r="F180">
        <v>1</v>
      </c>
      <c r="G180" t="b">
        <v>1</v>
      </c>
      <c r="H180">
        <v>0</v>
      </c>
      <c r="I180" t="s">
        <v>1216</v>
      </c>
      <c r="J180" t="s">
        <v>1230</v>
      </c>
      <c r="K180" t="s">
        <v>1243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>
      <c r="A181" t="s">
        <v>306</v>
      </c>
      <c r="B181" s="2">
        <v>120</v>
      </c>
      <c r="C181" s="2" t="s">
        <v>20</v>
      </c>
      <c r="D181" s="2" t="s">
        <v>42</v>
      </c>
      <c r="E181" s="2">
        <v>70</v>
      </c>
      <c r="F181">
        <v>1</v>
      </c>
      <c r="G181" t="b">
        <v>0</v>
      </c>
      <c r="H181">
        <v>0</v>
      </c>
      <c r="I181" t="s">
        <v>1211</v>
      </c>
      <c r="K181" t="s">
        <v>1243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307</v>
      </c>
      <c r="B182" s="2">
        <v>150</v>
      </c>
      <c r="C182" s="2" t="s">
        <v>20</v>
      </c>
      <c r="D182" s="2" t="s">
        <v>31</v>
      </c>
      <c r="E182" s="2">
        <v>100</v>
      </c>
      <c r="F182">
        <v>1</v>
      </c>
      <c r="G182" t="b">
        <v>1</v>
      </c>
      <c r="H182">
        <v>-3</v>
      </c>
      <c r="I182" t="s">
        <v>1211</v>
      </c>
      <c r="K182" t="s">
        <v>1248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308</v>
      </c>
      <c r="B183" s="2">
        <v>60</v>
      </c>
      <c r="C183" s="2" t="s">
        <v>20</v>
      </c>
      <c r="D183" s="2" t="s">
        <v>31</v>
      </c>
      <c r="E183" s="2">
        <v>100</v>
      </c>
      <c r="F183">
        <v>1</v>
      </c>
      <c r="G183" t="b">
        <v>1</v>
      </c>
      <c r="H183">
        <v>0</v>
      </c>
      <c r="I183" t="s">
        <v>1211</v>
      </c>
      <c r="K183" t="s">
        <v>1243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 t="s">
        <v>309</v>
      </c>
      <c r="B184" s="2">
        <v>95</v>
      </c>
      <c r="C184" s="2" t="s">
        <v>38</v>
      </c>
      <c r="D184" s="2" t="s">
        <v>31</v>
      </c>
      <c r="E184" s="2">
        <v>100</v>
      </c>
      <c r="F184">
        <v>1</v>
      </c>
      <c r="G184" t="b">
        <v>1</v>
      </c>
      <c r="H184">
        <v>0</v>
      </c>
      <c r="I184" t="s">
        <v>1217</v>
      </c>
      <c r="K184" t="s">
        <v>1243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310</v>
      </c>
      <c r="B185" s="2">
        <v>140</v>
      </c>
      <c r="C185" s="2" t="s">
        <v>40</v>
      </c>
      <c r="D185" s="2" t="s">
        <v>31</v>
      </c>
      <c r="E185" s="2">
        <v>90</v>
      </c>
      <c r="F185">
        <v>1</v>
      </c>
      <c r="G185" t="b">
        <v>0</v>
      </c>
      <c r="H185">
        <v>0</v>
      </c>
      <c r="I185" t="s">
        <v>1211</v>
      </c>
      <c r="K185" t="s">
        <v>1243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>
      <c r="A186" t="s">
        <v>311</v>
      </c>
      <c r="B186" s="2">
        <v>70</v>
      </c>
      <c r="C186" s="2" t="s">
        <v>40</v>
      </c>
      <c r="D186" s="2" t="s">
        <v>42</v>
      </c>
      <c r="E186" s="2">
        <v>100</v>
      </c>
      <c r="F186">
        <v>1</v>
      </c>
      <c r="G186" t="b">
        <v>0</v>
      </c>
      <c r="H186">
        <v>0</v>
      </c>
      <c r="I186" t="s">
        <v>1211</v>
      </c>
      <c r="K186" t="s">
        <v>1243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312</v>
      </c>
      <c r="B187" s="2">
        <v>90</v>
      </c>
      <c r="C187" s="2" t="s">
        <v>22</v>
      </c>
      <c r="D187" s="2" t="s">
        <v>42</v>
      </c>
      <c r="E187" s="2">
        <v>100</v>
      </c>
      <c r="F187">
        <v>1</v>
      </c>
      <c r="G187" t="b">
        <v>0</v>
      </c>
      <c r="H187">
        <v>0</v>
      </c>
      <c r="I187" t="s">
        <v>1211</v>
      </c>
      <c r="K187" t="s">
        <v>1243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313</v>
      </c>
      <c r="B188" s="2">
        <v>100</v>
      </c>
      <c r="C188" s="2" t="s">
        <v>40</v>
      </c>
      <c r="D188" s="2" t="s">
        <v>42</v>
      </c>
      <c r="E188" s="2">
        <v>90</v>
      </c>
      <c r="F188">
        <v>1</v>
      </c>
      <c r="G188" t="b">
        <v>0</v>
      </c>
      <c r="H188">
        <v>0</v>
      </c>
      <c r="I188" t="s">
        <v>1211</v>
      </c>
      <c r="K188" t="s">
        <v>1243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 t="s">
        <v>314</v>
      </c>
      <c r="B189" s="2">
        <v>150</v>
      </c>
      <c r="C189" s="2" t="s">
        <v>43</v>
      </c>
      <c r="D189" s="2" t="s">
        <v>42</v>
      </c>
      <c r="E189" s="2">
        <v>90</v>
      </c>
      <c r="F189">
        <v>1</v>
      </c>
      <c r="G189" t="b">
        <v>0</v>
      </c>
      <c r="H189">
        <v>0</v>
      </c>
      <c r="I189" t="s">
        <v>1211</v>
      </c>
      <c r="K189" t="s">
        <v>1243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>
      <c r="A190" t="s">
        <v>315</v>
      </c>
      <c r="B190" s="2">
        <v>60</v>
      </c>
      <c r="C190" s="2" t="s">
        <v>40</v>
      </c>
      <c r="D190" s="2" t="s">
        <v>42</v>
      </c>
      <c r="E190" s="2">
        <v>90</v>
      </c>
      <c r="F190">
        <v>1</v>
      </c>
      <c r="G190" t="b">
        <v>0</v>
      </c>
      <c r="H190">
        <v>0</v>
      </c>
      <c r="I190" t="s">
        <v>1211</v>
      </c>
      <c r="K190" t="s">
        <v>1243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316</v>
      </c>
      <c r="B191" s="2">
        <v>0</v>
      </c>
      <c r="C191" s="2" t="s">
        <v>32</v>
      </c>
      <c r="D191" s="2" t="s">
        <v>31</v>
      </c>
      <c r="E191" s="2">
        <v>100</v>
      </c>
      <c r="F191">
        <v>1</v>
      </c>
      <c r="G191" t="b">
        <v>1</v>
      </c>
      <c r="H191">
        <v>0</v>
      </c>
      <c r="I191" t="s">
        <v>1212</v>
      </c>
      <c r="J191" t="s">
        <v>1227</v>
      </c>
      <c r="K191" t="s">
        <v>1243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107</v>
      </c>
      <c r="B192" s="2">
        <v>15</v>
      </c>
      <c r="C192" s="2" t="s">
        <v>32</v>
      </c>
      <c r="D192" s="2" t="s">
        <v>31</v>
      </c>
      <c r="E192" s="2">
        <v>85</v>
      </c>
      <c r="F192">
        <v>3</v>
      </c>
      <c r="G192" t="b">
        <v>1</v>
      </c>
      <c r="H192">
        <v>0</v>
      </c>
      <c r="I192" t="s">
        <v>1211</v>
      </c>
      <c r="K192" t="s">
        <v>1243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317</v>
      </c>
      <c r="B193" s="2">
        <v>40</v>
      </c>
      <c r="C193" s="2" t="s">
        <v>21</v>
      </c>
      <c r="D193" s="2" t="s">
        <v>31</v>
      </c>
      <c r="E193" s="2">
        <v>95</v>
      </c>
      <c r="F193">
        <v>1</v>
      </c>
      <c r="G193" t="b">
        <v>0</v>
      </c>
      <c r="H193">
        <v>0</v>
      </c>
      <c r="I193" t="s">
        <v>1212</v>
      </c>
      <c r="J193" t="s">
        <v>1227</v>
      </c>
      <c r="K193" t="s">
        <v>1243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318</v>
      </c>
      <c r="B194" s="2">
        <v>18</v>
      </c>
      <c r="C194" s="2" t="s">
        <v>32</v>
      </c>
      <c r="D194" s="2" t="s">
        <v>31</v>
      </c>
      <c r="E194" s="2">
        <v>80</v>
      </c>
      <c r="F194">
        <v>1</v>
      </c>
      <c r="G194" t="b">
        <v>1</v>
      </c>
      <c r="H194">
        <v>0</v>
      </c>
      <c r="I194" t="s">
        <v>1211</v>
      </c>
      <c r="K194" t="s">
        <v>1243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319</v>
      </c>
      <c r="B195" s="2">
        <v>100</v>
      </c>
      <c r="C195" s="2" t="s">
        <v>41</v>
      </c>
      <c r="D195" s="2" t="s">
        <v>31</v>
      </c>
      <c r="E195" s="2">
        <v>100</v>
      </c>
      <c r="F195">
        <v>1</v>
      </c>
      <c r="G195" t="b">
        <v>0</v>
      </c>
      <c r="H195">
        <v>0</v>
      </c>
      <c r="I195" t="s">
        <v>1211</v>
      </c>
      <c r="K195" t="s">
        <v>1243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320</v>
      </c>
      <c r="B196" s="2">
        <v>100</v>
      </c>
      <c r="C196" s="2" t="s">
        <v>19</v>
      </c>
      <c r="D196" s="2" t="s">
        <v>42</v>
      </c>
      <c r="E196" s="2">
        <v>100</v>
      </c>
      <c r="F196">
        <v>1</v>
      </c>
      <c r="G196" t="b">
        <v>0</v>
      </c>
      <c r="H196">
        <v>0</v>
      </c>
      <c r="I196" t="s">
        <v>1211</v>
      </c>
      <c r="K196" t="s">
        <v>1243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321</v>
      </c>
      <c r="B197" s="2">
        <v>120</v>
      </c>
      <c r="C197" s="2" t="s">
        <v>22</v>
      </c>
      <c r="D197" s="2" t="s">
        <v>42</v>
      </c>
      <c r="E197" s="2">
        <v>100</v>
      </c>
      <c r="F197">
        <v>1</v>
      </c>
      <c r="G197" t="b">
        <v>0</v>
      </c>
      <c r="H197">
        <v>0</v>
      </c>
      <c r="I197" t="s">
        <v>1211</v>
      </c>
      <c r="K197" t="s">
        <v>1246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 t="s">
        <v>322</v>
      </c>
      <c r="B198" s="2">
        <v>50</v>
      </c>
      <c r="C198" s="2" t="s">
        <v>24</v>
      </c>
      <c r="D198" s="2" t="s">
        <v>31</v>
      </c>
      <c r="E198" s="2">
        <v>85</v>
      </c>
      <c r="F198">
        <v>2</v>
      </c>
      <c r="G198" t="b">
        <v>1</v>
      </c>
      <c r="H198">
        <v>0</v>
      </c>
      <c r="I198" t="s">
        <v>1211</v>
      </c>
      <c r="K198" t="s">
        <v>1243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323</v>
      </c>
      <c r="B199" s="2">
        <v>185</v>
      </c>
      <c r="C199" s="2" t="s">
        <v>22</v>
      </c>
      <c r="D199" s="2" t="s">
        <v>42</v>
      </c>
      <c r="E199" s="2">
        <v>100</v>
      </c>
      <c r="F199">
        <v>1</v>
      </c>
      <c r="G199" t="b">
        <v>0</v>
      </c>
      <c r="H199">
        <v>0</v>
      </c>
      <c r="I199" t="s">
        <v>1211</v>
      </c>
      <c r="K199" t="s">
        <v>1243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324</v>
      </c>
      <c r="B200" s="2">
        <v>75</v>
      </c>
      <c r="C200" s="2" t="s">
        <v>43</v>
      </c>
      <c r="D200" s="2" t="s">
        <v>42</v>
      </c>
      <c r="E200" s="2">
        <v>100</v>
      </c>
      <c r="F200">
        <v>1</v>
      </c>
      <c r="G200" t="b">
        <v>0</v>
      </c>
      <c r="H200">
        <v>0</v>
      </c>
      <c r="I200" t="s">
        <v>1211</v>
      </c>
      <c r="K200" t="s">
        <v>1243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325</v>
      </c>
      <c r="B201" s="2">
        <v>150</v>
      </c>
      <c r="C201" s="2" t="s">
        <v>32</v>
      </c>
      <c r="D201" s="2" t="s">
        <v>31</v>
      </c>
      <c r="E201" s="2">
        <v>90</v>
      </c>
      <c r="F201">
        <v>1</v>
      </c>
      <c r="G201" t="b">
        <v>1</v>
      </c>
      <c r="H201">
        <v>0</v>
      </c>
      <c r="I201" t="s">
        <v>1211</v>
      </c>
      <c r="K201" t="s">
        <v>1243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 t="s">
        <v>326</v>
      </c>
      <c r="B202" s="2">
        <v>120</v>
      </c>
      <c r="C202" s="2" t="s">
        <v>40</v>
      </c>
      <c r="D202" s="2" t="s">
        <v>31</v>
      </c>
      <c r="E202" s="2">
        <v>100</v>
      </c>
      <c r="F202">
        <v>1</v>
      </c>
      <c r="G202" t="b">
        <v>1</v>
      </c>
      <c r="H202">
        <v>0</v>
      </c>
      <c r="I202" t="s">
        <v>1211</v>
      </c>
      <c r="K202" t="s">
        <v>1243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327</v>
      </c>
      <c r="B203" s="2">
        <v>65</v>
      </c>
      <c r="C203" s="2" t="s">
        <v>40</v>
      </c>
      <c r="D203" s="2" t="s">
        <v>42</v>
      </c>
      <c r="E203" s="2">
        <v>95</v>
      </c>
      <c r="F203">
        <v>1</v>
      </c>
      <c r="G203" t="b">
        <v>0</v>
      </c>
      <c r="H203">
        <v>0</v>
      </c>
      <c r="I203" t="s">
        <v>1211</v>
      </c>
      <c r="K203" t="s">
        <v>1243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328</v>
      </c>
      <c r="B204" s="2">
        <v>80</v>
      </c>
      <c r="C204" s="2" t="s">
        <v>22</v>
      </c>
      <c r="D204" s="2" t="s">
        <v>42</v>
      </c>
      <c r="E204" s="2">
        <v>95</v>
      </c>
      <c r="F204">
        <v>1</v>
      </c>
      <c r="G204" t="b">
        <v>0</v>
      </c>
      <c r="H204">
        <v>0</v>
      </c>
      <c r="I204" t="s">
        <v>1211</v>
      </c>
      <c r="K204" t="s">
        <v>1243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329</v>
      </c>
      <c r="B205" s="2">
        <v>0</v>
      </c>
      <c r="C205" s="2" t="s">
        <v>43</v>
      </c>
      <c r="D205" s="2" t="s">
        <v>42</v>
      </c>
      <c r="E205" s="2">
        <v>100</v>
      </c>
      <c r="F205">
        <v>1</v>
      </c>
      <c r="G205" t="b">
        <v>1</v>
      </c>
      <c r="H205">
        <v>0</v>
      </c>
      <c r="I205" t="s">
        <v>1212</v>
      </c>
      <c r="J205" t="s">
        <v>1227</v>
      </c>
      <c r="K205" t="s">
        <v>1243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 t="s">
        <v>330</v>
      </c>
      <c r="B206" s="2">
        <v>80</v>
      </c>
      <c r="C206" s="2" t="s">
        <v>43</v>
      </c>
      <c r="D206" s="2" t="s">
        <v>42</v>
      </c>
      <c r="E206" s="2">
        <v>100</v>
      </c>
      <c r="F206">
        <v>1</v>
      </c>
      <c r="G206" t="b">
        <v>0</v>
      </c>
      <c r="H206">
        <v>0</v>
      </c>
      <c r="I206" t="s">
        <v>1211</v>
      </c>
      <c r="K206" t="s">
        <v>1243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331</v>
      </c>
      <c r="B207" s="2">
        <v>55</v>
      </c>
      <c r="C207" s="2" t="s">
        <v>43</v>
      </c>
      <c r="D207" s="2" t="s">
        <v>31</v>
      </c>
      <c r="E207" s="2">
        <v>100</v>
      </c>
      <c r="F207">
        <v>1</v>
      </c>
      <c r="G207" t="b">
        <v>1</v>
      </c>
      <c r="H207">
        <v>1</v>
      </c>
      <c r="I207" t="s">
        <v>1212</v>
      </c>
      <c r="J207" t="s">
        <v>1227</v>
      </c>
      <c r="K207" t="s">
        <v>1243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>
      <c r="A208" t="s">
        <v>332</v>
      </c>
      <c r="B208" s="2">
        <v>80</v>
      </c>
      <c r="C208" s="2" t="s">
        <v>43</v>
      </c>
      <c r="D208" s="2" t="s">
        <v>31</v>
      </c>
      <c r="E208" s="2">
        <v>100</v>
      </c>
      <c r="F208">
        <v>1</v>
      </c>
      <c r="G208" t="b">
        <v>1</v>
      </c>
      <c r="H208">
        <v>0</v>
      </c>
      <c r="I208" t="s">
        <v>1211</v>
      </c>
      <c r="K208" t="s">
        <v>1243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 t="s">
        <v>333</v>
      </c>
      <c r="B209" s="2">
        <v>0</v>
      </c>
      <c r="C209" s="2" t="s">
        <v>44</v>
      </c>
      <c r="D209" s="2" t="s">
        <v>42</v>
      </c>
      <c r="E209" s="2">
        <v>100</v>
      </c>
      <c r="F209">
        <v>1</v>
      </c>
      <c r="G209" t="b">
        <v>0</v>
      </c>
      <c r="H209">
        <v>0</v>
      </c>
      <c r="I209" t="s">
        <v>1213</v>
      </c>
      <c r="J209" t="s">
        <v>1228</v>
      </c>
      <c r="K209" t="s">
        <v>1243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 t="s">
        <v>334</v>
      </c>
      <c r="B210" s="2">
        <v>0</v>
      </c>
      <c r="C210" s="2" t="s">
        <v>32</v>
      </c>
      <c r="D210" s="2" t="s">
        <v>31</v>
      </c>
      <c r="E210" s="2">
        <v>30</v>
      </c>
      <c r="F210">
        <v>1</v>
      </c>
      <c r="G210" t="b">
        <v>1</v>
      </c>
      <c r="H210">
        <v>0</v>
      </c>
      <c r="I210" t="s">
        <v>1215</v>
      </c>
      <c r="J210" t="s">
        <v>1229</v>
      </c>
      <c r="K210" t="s">
        <v>1243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335</v>
      </c>
      <c r="B211" s="2">
        <v>120</v>
      </c>
      <c r="C211" s="2" t="s">
        <v>53</v>
      </c>
      <c r="D211" s="2" t="s">
        <v>31</v>
      </c>
      <c r="E211" s="2">
        <v>80</v>
      </c>
      <c r="F211">
        <v>1</v>
      </c>
      <c r="G211" t="b">
        <v>0</v>
      </c>
      <c r="H211">
        <v>0</v>
      </c>
      <c r="I211" t="s">
        <v>1211</v>
      </c>
      <c r="K211" t="s">
        <v>1243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>
      <c r="A212" t="s">
        <v>336</v>
      </c>
      <c r="B212" s="2">
        <v>40</v>
      </c>
      <c r="C212" s="2" t="s">
        <v>35</v>
      </c>
      <c r="D212" s="2" t="s">
        <v>42</v>
      </c>
      <c r="E212" s="2">
        <v>100</v>
      </c>
      <c r="F212">
        <v>1</v>
      </c>
      <c r="G212" t="b">
        <v>0</v>
      </c>
      <c r="H212">
        <v>0</v>
      </c>
      <c r="I212" t="s">
        <v>1212</v>
      </c>
      <c r="J212" t="s">
        <v>1227</v>
      </c>
      <c r="K212" t="s">
        <v>1243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 t="s">
        <v>337</v>
      </c>
      <c r="B213" s="2">
        <v>0</v>
      </c>
      <c r="C213" s="2" t="s">
        <v>24</v>
      </c>
      <c r="D213" s="2" t="s">
        <v>31</v>
      </c>
      <c r="E213" s="2">
        <v>100</v>
      </c>
      <c r="F213">
        <v>1</v>
      </c>
      <c r="G213" t="b">
        <v>0</v>
      </c>
      <c r="H213">
        <v>0</v>
      </c>
      <c r="I213" t="s">
        <v>1212</v>
      </c>
      <c r="J213" t="s">
        <v>1227</v>
      </c>
      <c r="K213" t="s">
        <v>1243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338</v>
      </c>
      <c r="B214" s="2">
        <v>100</v>
      </c>
      <c r="C214" s="2" t="s">
        <v>20</v>
      </c>
      <c r="D214" s="2" t="s">
        <v>31</v>
      </c>
      <c r="E214" s="2">
        <v>90</v>
      </c>
      <c r="F214">
        <v>1</v>
      </c>
      <c r="G214" t="b">
        <v>1</v>
      </c>
      <c r="H214">
        <v>0</v>
      </c>
      <c r="I214" t="s">
        <v>1211</v>
      </c>
      <c r="K214" t="s">
        <v>1243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339</v>
      </c>
      <c r="B215" s="2">
        <v>120</v>
      </c>
      <c r="C215" s="2" t="s">
        <v>32</v>
      </c>
      <c r="D215" s="2" t="s">
        <v>31</v>
      </c>
      <c r="E215" s="2">
        <v>100</v>
      </c>
      <c r="F215">
        <v>1</v>
      </c>
      <c r="G215" t="b">
        <v>1</v>
      </c>
      <c r="H215">
        <v>0</v>
      </c>
      <c r="I215" t="s">
        <v>1211</v>
      </c>
      <c r="K215" t="s">
        <v>1243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 t="s">
        <v>340</v>
      </c>
      <c r="B216" s="2">
        <v>150</v>
      </c>
      <c r="C216" s="2" t="s">
        <v>25</v>
      </c>
      <c r="D216" s="2" t="s">
        <v>31</v>
      </c>
      <c r="E216" s="2">
        <v>80</v>
      </c>
      <c r="F216">
        <v>1</v>
      </c>
      <c r="G216" t="b">
        <v>1</v>
      </c>
      <c r="H216">
        <v>0</v>
      </c>
      <c r="I216" t="s">
        <v>1211</v>
      </c>
      <c r="K216" t="s">
        <v>1243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 t="s">
        <v>341</v>
      </c>
      <c r="B217" s="2">
        <v>70</v>
      </c>
      <c r="C217" s="2" t="s">
        <v>32</v>
      </c>
      <c r="D217" s="2" t="s">
        <v>31</v>
      </c>
      <c r="E217" s="2">
        <v>100</v>
      </c>
      <c r="F217">
        <v>1</v>
      </c>
      <c r="G217" t="b">
        <v>1</v>
      </c>
      <c r="H217">
        <v>0</v>
      </c>
      <c r="I217" t="s">
        <v>1211</v>
      </c>
      <c r="K217" t="s">
        <v>1243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>
      <c r="A218" t="s">
        <v>342</v>
      </c>
      <c r="B218" s="2">
        <v>120</v>
      </c>
      <c r="C218" s="2" t="s">
        <v>23</v>
      </c>
      <c r="D218" s="2" t="s">
        <v>31</v>
      </c>
      <c r="E218" s="2">
        <v>100</v>
      </c>
      <c r="F218">
        <v>1</v>
      </c>
      <c r="G218" t="b">
        <v>1</v>
      </c>
      <c r="H218">
        <v>0</v>
      </c>
      <c r="I218" t="s">
        <v>1211</v>
      </c>
      <c r="K218" t="s">
        <v>1243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>
      <c r="A219" t="s">
        <v>343</v>
      </c>
      <c r="B219" s="2">
        <v>60</v>
      </c>
      <c r="C219" s="2" t="s">
        <v>22</v>
      </c>
      <c r="D219" s="2" t="s">
        <v>31</v>
      </c>
      <c r="E219" s="2">
        <v>100</v>
      </c>
      <c r="F219">
        <v>1</v>
      </c>
      <c r="G219" t="b">
        <v>1</v>
      </c>
      <c r="H219">
        <v>0</v>
      </c>
      <c r="I219" t="s">
        <v>1211</v>
      </c>
      <c r="K219" t="s">
        <v>1243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>
      <c r="A220" t="s">
        <v>344</v>
      </c>
      <c r="B220" s="2">
        <v>0</v>
      </c>
      <c r="C220" s="2" t="s">
        <v>19</v>
      </c>
      <c r="D220" s="2" t="s">
        <v>31</v>
      </c>
      <c r="E220" s="2">
        <v>100</v>
      </c>
      <c r="F220">
        <v>1</v>
      </c>
      <c r="G220" t="b">
        <v>1</v>
      </c>
      <c r="H220">
        <v>0</v>
      </c>
      <c r="I220" t="s">
        <v>1212</v>
      </c>
      <c r="J220" t="s">
        <v>1227</v>
      </c>
      <c r="K220" t="s">
        <v>1243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345</v>
      </c>
      <c r="B221" s="2">
        <v>95</v>
      </c>
      <c r="C221" s="2" t="s">
        <v>19</v>
      </c>
      <c r="D221" s="2" t="s">
        <v>42</v>
      </c>
      <c r="E221" s="2">
        <v>90</v>
      </c>
      <c r="F221">
        <v>1</v>
      </c>
      <c r="G221" t="b">
        <v>0</v>
      </c>
      <c r="H221">
        <v>0</v>
      </c>
      <c r="I221" t="s">
        <v>1211</v>
      </c>
      <c r="K221" t="s">
        <v>1243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346</v>
      </c>
      <c r="B222" s="2">
        <v>0</v>
      </c>
      <c r="C222" s="2" t="s">
        <v>24</v>
      </c>
      <c r="D222" s="2" t="s">
        <v>31</v>
      </c>
      <c r="E222" s="2">
        <v>100</v>
      </c>
      <c r="F222">
        <v>1</v>
      </c>
      <c r="G222" t="b">
        <v>1</v>
      </c>
      <c r="H222">
        <v>0</v>
      </c>
      <c r="I222" t="s">
        <v>1212</v>
      </c>
      <c r="J222" t="s">
        <v>1227</v>
      </c>
      <c r="K222" t="s">
        <v>1243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347</v>
      </c>
      <c r="B223" s="2">
        <v>65</v>
      </c>
      <c r="C223" s="2" t="s">
        <v>46</v>
      </c>
      <c r="D223" s="2" t="s">
        <v>42</v>
      </c>
      <c r="E223" s="2">
        <v>100</v>
      </c>
      <c r="F223">
        <v>1</v>
      </c>
      <c r="G223" t="b">
        <v>0</v>
      </c>
      <c r="H223">
        <v>0</v>
      </c>
      <c r="I223" t="s">
        <v>1212</v>
      </c>
      <c r="J223" t="s">
        <v>1227</v>
      </c>
      <c r="K223" t="s">
        <v>1303</v>
      </c>
      <c r="M223">
        <v>2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348</v>
      </c>
      <c r="B224" s="2">
        <v>60</v>
      </c>
      <c r="C224" s="2" t="s">
        <v>32</v>
      </c>
      <c r="D224" s="2" t="s">
        <v>42</v>
      </c>
      <c r="E224" s="2">
        <v>100</v>
      </c>
      <c r="F224">
        <v>1</v>
      </c>
      <c r="G224" t="b">
        <v>0</v>
      </c>
      <c r="H224">
        <v>0</v>
      </c>
      <c r="I224" t="s">
        <v>1212</v>
      </c>
      <c r="J224" t="s">
        <v>1227</v>
      </c>
      <c r="K224" t="s">
        <v>1243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349</v>
      </c>
      <c r="B225" s="2">
        <v>95</v>
      </c>
      <c r="C225" s="2" t="s">
        <v>23</v>
      </c>
      <c r="D225" s="2" t="s">
        <v>31</v>
      </c>
      <c r="E225" s="2">
        <v>95</v>
      </c>
      <c r="F225">
        <v>1</v>
      </c>
      <c r="G225" t="b">
        <v>1</v>
      </c>
      <c r="H225">
        <v>0</v>
      </c>
      <c r="I225" t="s">
        <v>1211</v>
      </c>
      <c r="K225" t="s">
        <v>1243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 t="s">
        <v>350</v>
      </c>
      <c r="B226" s="2">
        <v>130</v>
      </c>
      <c r="C226" s="2" t="s">
        <v>20</v>
      </c>
      <c r="D226" s="2" t="s">
        <v>31</v>
      </c>
      <c r="E226" s="2">
        <v>90</v>
      </c>
      <c r="F226">
        <v>1</v>
      </c>
      <c r="G226" t="b">
        <v>1</v>
      </c>
      <c r="H226">
        <v>0</v>
      </c>
      <c r="I226" t="s">
        <v>1211</v>
      </c>
      <c r="K226" t="s">
        <v>1243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351</v>
      </c>
      <c r="B227" s="2">
        <v>40</v>
      </c>
      <c r="C227" s="2" t="s">
        <v>32</v>
      </c>
      <c r="D227" s="2" t="s">
        <v>31</v>
      </c>
      <c r="E227" s="2">
        <v>100</v>
      </c>
      <c r="F227">
        <v>1</v>
      </c>
      <c r="G227" t="b">
        <v>1</v>
      </c>
      <c r="H227">
        <v>0</v>
      </c>
      <c r="I227" t="s">
        <v>1211</v>
      </c>
      <c r="K227" t="s">
        <v>1243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75</v>
      </c>
      <c r="B228" s="2">
        <v>65</v>
      </c>
      <c r="C228" s="2" t="s">
        <v>32</v>
      </c>
      <c r="D228" s="2" t="s">
        <v>31</v>
      </c>
      <c r="E228" s="2">
        <v>100</v>
      </c>
      <c r="F228">
        <v>1</v>
      </c>
      <c r="G228" t="b">
        <v>1</v>
      </c>
      <c r="H228">
        <v>0</v>
      </c>
      <c r="I228" t="s">
        <v>1211</v>
      </c>
      <c r="K228" t="s">
        <v>1243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 t="s">
        <v>352</v>
      </c>
      <c r="B229" s="2">
        <v>0</v>
      </c>
      <c r="C229" s="2" t="s">
        <v>32</v>
      </c>
      <c r="D229" s="2" t="s">
        <v>31</v>
      </c>
      <c r="E229" s="2">
        <v>30</v>
      </c>
      <c r="F229">
        <v>1</v>
      </c>
      <c r="G229" t="b">
        <v>1</v>
      </c>
      <c r="H229">
        <v>0</v>
      </c>
      <c r="I229" t="s">
        <v>1215</v>
      </c>
      <c r="J229" t="s">
        <v>1229</v>
      </c>
      <c r="K229" t="s">
        <v>1243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 t="s">
        <v>353</v>
      </c>
      <c r="B230" s="2">
        <v>75</v>
      </c>
      <c r="C230" s="2" t="s">
        <v>43</v>
      </c>
      <c r="D230" s="2" t="s">
        <v>31</v>
      </c>
      <c r="E230" s="2">
        <v>100</v>
      </c>
      <c r="F230">
        <v>1</v>
      </c>
      <c r="G230" t="b">
        <v>1</v>
      </c>
      <c r="H230">
        <v>0</v>
      </c>
      <c r="I230" t="s">
        <v>1211</v>
      </c>
      <c r="K230" t="s">
        <v>1243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>
      <c r="A231" t="s">
        <v>354</v>
      </c>
      <c r="B231" s="2">
        <v>110</v>
      </c>
      <c r="C231" s="2" t="s">
        <v>35</v>
      </c>
      <c r="D231" s="2" t="s">
        <v>42</v>
      </c>
      <c r="E231" s="2">
        <v>70</v>
      </c>
      <c r="F231">
        <v>1</v>
      </c>
      <c r="G231" t="b">
        <v>0</v>
      </c>
      <c r="H231">
        <v>0</v>
      </c>
      <c r="I231" t="s">
        <v>1211</v>
      </c>
      <c r="K231" t="s">
        <v>1243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>
      <c r="A232" t="s">
        <v>355</v>
      </c>
      <c r="B232" s="2">
        <v>150</v>
      </c>
      <c r="C232" s="2" t="s">
        <v>34</v>
      </c>
      <c r="D232" s="2" t="s">
        <v>42</v>
      </c>
      <c r="E232" s="2">
        <v>90</v>
      </c>
      <c r="F232">
        <v>1</v>
      </c>
      <c r="G232" t="b">
        <v>0</v>
      </c>
      <c r="H232">
        <v>0</v>
      </c>
      <c r="I232" t="s">
        <v>1211</v>
      </c>
      <c r="K232" t="s">
        <v>1243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 t="s">
        <v>356</v>
      </c>
      <c r="B233" s="2">
        <v>110</v>
      </c>
      <c r="C233" s="2" t="s">
        <v>34</v>
      </c>
      <c r="D233" s="2" t="s">
        <v>42</v>
      </c>
      <c r="E233" s="2">
        <v>80</v>
      </c>
      <c r="F233">
        <v>1</v>
      </c>
      <c r="G233" t="b">
        <v>0</v>
      </c>
      <c r="H233">
        <v>0</v>
      </c>
      <c r="I233" t="s">
        <v>1211</v>
      </c>
      <c r="K233" t="s">
        <v>1243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>
      <c r="A234" t="s">
        <v>357</v>
      </c>
      <c r="B234" s="2">
        <v>150</v>
      </c>
      <c r="C234" s="2" t="s">
        <v>32</v>
      </c>
      <c r="D234" s="2" t="s">
        <v>42</v>
      </c>
      <c r="E234" s="2">
        <v>90</v>
      </c>
      <c r="F234">
        <v>1</v>
      </c>
      <c r="G234" t="b">
        <v>0</v>
      </c>
      <c r="H234">
        <v>0</v>
      </c>
      <c r="I234" t="s">
        <v>1211</v>
      </c>
      <c r="K234" t="s">
        <v>1243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358</v>
      </c>
      <c r="B235" s="2">
        <v>80</v>
      </c>
      <c r="C235" s="2" t="s">
        <v>32</v>
      </c>
      <c r="D235" s="2" t="s">
        <v>31</v>
      </c>
      <c r="E235" s="2">
        <v>90</v>
      </c>
      <c r="F235">
        <v>1</v>
      </c>
      <c r="G235" t="b">
        <v>1</v>
      </c>
      <c r="H235">
        <v>0</v>
      </c>
      <c r="I235" t="s">
        <v>1211</v>
      </c>
      <c r="K235" t="s">
        <v>1243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>
      <c r="A236" t="s">
        <v>359</v>
      </c>
      <c r="B236" s="2">
        <v>90</v>
      </c>
      <c r="C236" s="2" t="s">
        <v>32</v>
      </c>
      <c r="D236" s="2" t="s">
        <v>42</v>
      </c>
      <c r="E236" s="2">
        <v>100</v>
      </c>
      <c r="F236">
        <v>1</v>
      </c>
      <c r="G236" t="b">
        <v>0</v>
      </c>
      <c r="H236">
        <v>0</v>
      </c>
      <c r="I236" t="s">
        <v>1211</v>
      </c>
      <c r="K236" t="s">
        <v>1243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 t="s">
        <v>360</v>
      </c>
      <c r="B237" s="2">
        <v>100</v>
      </c>
      <c r="C237" s="2" t="s">
        <v>38</v>
      </c>
      <c r="D237" s="2" t="s">
        <v>31</v>
      </c>
      <c r="E237" s="2">
        <v>100</v>
      </c>
      <c r="F237">
        <v>1</v>
      </c>
      <c r="G237" t="b">
        <v>1</v>
      </c>
      <c r="H237">
        <v>0</v>
      </c>
      <c r="I237" t="s">
        <v>1211</v>
      </c>
      <c r="K237" t="s">
        <v>1243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 t="s">
        <v>361</v>
      </c>
      <c r="B238" s="2">
        <v>80</v>
      </c>
      <c r="C238" s="2" t="s">
        <v>22</v>
      </c>
      <c r="D238" s="2" t="s">
        <v>42</v>
      </c>
      <c r="E238" s="2">
        <v>100</v>
      </c>
      <c r="F238">
        <v>1</v>
      </c>
      <c r="G238" t="b">
        <v>0</v>
      </c>
      <c r="H238">
        <v>0</v>
      </c>
      <c r="I238" t="s">
        <v>1211</v>
      </c>
      <c r="K238" t="s">
        <v>1243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362</v>
      </c>
      <c r="B239" s="2">
        <v>30</v>
      </c>
      <c r="C239" s="2" t="s">
        <v>40</v>
      </c>
      <c r="D239" s="2" t="s">
        <v>31</v>
      </c>
      <c r="E239" s="2">
        <v>90</v>
      </c>
      <c r="F239">
        <v>1</v>
      </c>
      <c r="G239" t="b">
        <v>1</v>
      </c>
      <c r="H239">
        <v>0</v>
      </c>
      <c r="I239" t="s">
        <v>1212</v>
      </c>
      <c r="J239" t="s">
        <v>1227</v>
      </c>
      <c r="K239" t="s">
        <v>1243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 t="s">
        <v>363</v>
      </c>
      <c r="B240" s="2">
        <v>90</v>
      </c>
      <c r="C240" s="2" t="s">
        <v>40</v>
      </c>
      <c r="D240" s="2" t="s">
        <v>42</v>
      </c>
      <c r="E240" s="2">
        <v>100</v>
      </c>
      <c r="F240">
        <v>1</v>
      </c>
      <c r="G240" t="b">
        <v>0</v>
      </c>
      <c r="H240">
        <v>0</v>
      </c>
      <c r="I240" t="s">
        <v>1211</v>
      </c>
      <c r="K240" t="s">
        <v>1243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 t="s">
        <v>364</v>
      </c>
      <c r="B241" s="2">
        <v>140</v>
      </c>
      <c r="C241" s="2" t="s">
        <v>40</v>
      </c>
      <c r="D241" s="2" t="s">
        <v>42</v>
      </c>
      <c r="E241" s="2">
        <v>90</v>
      </c>
      <c r="F241">
        <v>1</v>
      </c>
      <c r="G241" t="b">
        <v>0</v>
      </c>
      <c r="H241">
        <v>0</v>
      </c>
      <c r="I241" t="s">
        <v>1211</v>
      </c>
      <c r="K241" t="s">
        <v>1243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>
      <c r="A242" t="s">
        <v>39</v>
      </c>
      <c r="B242" s="2">
        <v>65</v>
      </c>
      <c r="C242" s="2" t="s">
        <v>40</v>
      </c>
      <c r="D242" s="2" t="s">
        <v>31</v>
      </c>
      <c r="E242" s="2">
        <v>95</v>
      </c>
      <c r="F242">
        <v>1</v>
      </c>
      <c r="G242" t="b">
        <v>1</v>
      </c>
      <c r="H242">
        <v>0</v>
      </c>
      <c r="I242" t="s">
        <v>1211</v>
      </c>
      <c r="K242" t="s">
        <v>1243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 t="s">
        <v>365</v>
      </c>
      <c r="B243" s="2">
        <v>100</v>
      </c>
      <c r="C243" s="2" t="s">
        <v>40</v>
      </c>
      <c r="D243" s="2" t="s">
        <v>31</v>
      </c>
      <c r="E243" s="2">
        <v>90</v>
      </c>
      <c r="F243">
        <v>1</v>
      </c>
      <c r="G243" t="b">
        <v>1</v>
      </c>
      <c r="H243">
        <v>0</v>
      </c>
      <c r="I243" t="s">
        <v>1211</v>
      </c>
      <c r="K243" t="s">
        <v>1243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 t="s">
        <v>366</v>
      </c>
      <c r="B244" s="2">
        <v>75</v>
      </c>
      <c r="C244" s="2" t="s">
        <v>40</v>
      </c>
      <c r="D244" s="2" t="s">
        <v>31</v>
      </c>
      <c r="E244" s="2">
        <v>100</v>
      </c>
      <c r="F244">
        <v>1</v>
      </c>
      <c r="G244" t="b">
        <v>1</v>
      </c>
      <c r="H244">
        <v>0</v>
      </c>
      <c r="I244" t="s">
        <v>1211</v>
      </c>
      <c r="K244" t="s">
        <v>1243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367</v>
      </c>
      <c r="B245" s="2">
        <v>40</v>
      </c>
      <c r="C245" s="2" t="s">
        <v>40</v>
      </c>
      <c r="D245" s="2" t="s">
        <v>31</v>
      </c>
      <c r="E245" s="2">
        <v>100</v>
      </c>
      <c r="F245">
        <v>1</v>
      </c>
      <c r="G245" t="b">
        <v>0</v>
      </c>
      <c r="H245">
        <v>1</v>
      </c>
      <c r="I245" t="s">
        <v>1211</v>
      </c>
      <c r="K245" t="s">
        <v>1243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 t="s">
        <v>368</v>
      </c>
      <c r="B246" s="2">
        <v>85</v>
      </c>
      <c r="C246" s="2" t="s">
        <v>40</v>
      </c>
      <c r="D246" s="2" t="s">
        <v>31</v>
      </c>
      <c r="E246" s="2">
        <v>90</v>
      </c>
      <c r="F246">
        <v>1</v>
      </c>
      <c r="G246" t="b">
        <v>0</v>
      </c>
      <c r="H246">
        <v>0</v>
      </c>
      <c r="I246" t="s">
        <v>1211</v>
      </c>
      <c r="K246" t="s">
        <v>1243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 t="s">
        <v>369</v>
      </c>
      <c r="B247" s="2">
        <v>25</v>
      </c>
      <c r="C247" s="2" t="s">
        <v>40</v>
      </c>
      <c r="D247" s="2" t="s">
        <v>31</v>
      </c>
      <c r="E247" s="2">
        <v>100</v>
      </c>
      <c r="F247">
        <v>1</v>
      </c>
      <c r="G247" t="b">
        <v>0</v>
      </c>
      <c r="H247">
        <v>0</v>
      </c>
      <c r="I247" t="s">
        <v>1211</v>
      </c>
      <c r="K247" t="s">
        <v>1243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>
      <c r="A248" t="s">
        <v>370</v>
      </c>
      <c r="B248" s="2">
        <v>55</v>
      </c>
      <c r="C248" s="2" t="s">
        <v>40</v>
      </c>
      <c r="D248" s="2" t="s">
        <v>42</v>
      </c>
      <c r="E248" s="2">
        <v>95</v>
      </c>
      <c r="F248">
        <v>1</v>
      </c>
      <c r="G248" t="b">
        <v>0</v>
      </c>
      <c r="H248">
        <v>0</v>
      </c>
      <c r="I248" t="s">
        <v>1211</v>
      </c>
      <c r="K248" t="s">
        <v>1243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>
      <c r="A249" t="s">
        <v>371</v>
      </c>
      <c r="B249" s="2">
        <v>60</v>
      </c>
      <c r="C249" s="2" t="s">
        <v>19</v>
      </c>
      <c r="D249" s="2" t="s">
        <v>42</v>
      </c>
      <c r="E249" s="2">
        <v>100</v>
      </c>
      <c r="F249">
        <v>1</v>
      </c>
      <c r="G249" t="b">
        <v>0</v>
      </c>
      <c r="H249">
        <v>0</v>
      </c>
      <c r="I249" t="s">
        <v>1211</v>
      </c>
      <c r="K249" t="s">
        <v>1243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 t="s">
        <v>372</v>
      </c>
      <c r="B250" s="2">
        <v>60</v>
      </c>
      <c r="C250" s="2" t="s">
        <v>46</v>
      </c>
      <c r="D250" s="2" t="s">
        <v>42</v>
      </c>
      <c r="E250" s="2">
        <v>100</v>
      </c>
      <c r="F250">
        <v>1</v>
      </c>
      <c r="G250" t="b">
        <v>0</v>
      </c>
      <c r="H250">
        <v>0</v>
      </c>
      <c r="I250" t="s">
        <v>1211</v>
      </c>
      <c r="K250" t="s">
        <v>1243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>
      <c r="A251" t="s">
        <v>373</v>
      </c>
      <c r="B251" s="2">
        <v>100</v>
      </c>
      <c r="C251" s="2" t="s">
        <v>19</v>
      </c>
      <c r="D251" s="2" t="s">
        <v>42</v>
      </c>
      <c r="E251" s="2">
        <v>50</v>
      </c>
      <c r="F251">
        <v>1</v>
      </c>
      <c r="G251" t="b">
        <v>0</v>
      </c>
      <c r="H251">
        <v>0</v>
      </c>
      <c r="I251" t="s">
        <v>1211</v>
      </c>
      <c r="K251" t="s">
        <v>1243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 t="s">
        <v>374</v>
      </c>
      <c r="B252" s="2">
        <v>20</v>
      </c>
      <c r="C252" s="2" t="s">
        <v>21</v>
      </c>
      <c r="D252" s="2" t="s">
        <v>42</v>
      </c>
      <c r="E252" s="2">
        <v>100</v>
      </c>
      <c r="F252">
        <v>1</v>
      </c>
      <c r="G252" t="b">
        <v>1</v>
      </c>
      <c r="H252">
        <v>0</v>
      </c>
      <c r="I252" t="s">
        <v>1211</v>
      </c>
      <c r="K252" t="s">
        <v>1243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>
      <c r="A253" t="s">
        <v>375</v>
      </c>
      <c r="B253" s="2">
        <v>80</v>
      </c>
      <c r="C253" s="2" t="s">
        <v>24</v>
      </c>
      <c r="D253" s="2" t="s">
        <v>31</v>
      </c>
      <c r="E253" s="2">
        <v>100</v>
      </c>
      <c r="F253">
        <v>1</v>
      </c>
      <c r="G253" t="b">
        <v>1</v>
      </c>
      <c r="H253">
        <v>0</v>
      </c>
      <c r="I253" t="s">
        <v>1211</v>
      </c>
      <c r="K253" t="s">
        <v>1243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>
      <c r="A254" t="s">
        <v>376</v>
      </c>
      <c r="B254" s="2">
        <v>100</v>
      </c>
      <c r="C254" s="2" t="s">
        <v>24</v>
      </c>
      <c r="D254" s="2" t="s">
        <v>31</v>
      </c>
      <c r="E254" s="2">
        <v>75</v>
      </c>
      <c r="F254">
        <v>1</v>
      </c>
      <c r="G254" t="b">
        <v>1</v>
      </c>
      <c r="H254">
        <v>0</v>
      </c>
      <c r="I254" t="s">
        <v>1211</v>
      </c>
      <c r="K254" t="s">
        <v>1243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 t="s">
        <v>377</v>
      </c>
      <c r="B255" s="2">
        <v>80</v>
      </c>
      <c r="C255" s="2" t="s">
        <v>38</v>
      </c>
      <c r="D255" s="2" t="s">
        <v>31</v>
      </c>
      <c r="E255" s="2">
        <v>100</v>
      </c>
      <c r="F255">
        <v>1</v>
      </c>
      <c r="G255" t="b">
        <v>1</v>
      </c>
      <c r="H255">
        <v>0</v>
      </c>
      <c r="I255" t="s">
        <v>1211</v>
      </c>
      <c r="K255" t="s">
        <v>1243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>
      <c r="A256" t="s">
        <v>378</v>
      </c>
      <c r="B256" s="2">
        <v>100</v>
      </c>
      <c r="C256" s="2" t="s">
        <v>32</v>
      </c>
      <c r="D256" s="2" t="s">
        <v>42</v>
      </c>
      <c r="E256" s="2">
        <v>100</v>
      </c>
      <c r="F256">
        <v>1</v>
      </c>
      <c r="G256" t="b">
        <v>0</v>
      </c>
      <c r="H256">
        <v>0</v>
      </c>
      <c r="I256" t="s">
        <v>1212</v>
      </c>
      <c r="J256" t="s">
        <v>1227</v>
      </c>
      <c r="K256" t="s">
        <v>1243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 t="s">
        <v>379</v>
      </c>
      <c r="B257" s="2">
        <v>100</v>
      </c>
      <c r="C257" s="2" t="s">
        <v>20</v>
      </c>
      <c r="D257" s="2" t="s">
        <v>31</v>
      </c>
      <c r="E257" s="2">
        <v>95</v>
      </c>
      <c r="F257">
        <v>1</v>
      </c>
      <c r="G257" t="b">
        <v>1</v>
      </c>
      <c r="H257">
        <v>0</v>
      </c>
      <c r="I257" t="s">
        <v>1211</v>
      </c>
      <c r="K257" t="s">
        <v>1243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 t="s">
        <v>380</v>
      </c>
      <c r="B258" s="2">
        <v>50</v>
      </c>
      <c r="C258" s="2" t="s">
        <v>20</v>
      </c>
      <c r="D258" s="2" t="s">
        <v>31</v>
      </c>
      <c r="E258" s="2">
        <v>100</v>
      </c>
      <c r="F258">
        <v>1</v>
      </c>
      <c r="G258" t="b">
        <v>1</v>
      </c>
      <c r="H258">
        <v>0</v>
      </c>
      <c r="I258" t="s">
        <v>1211</v>
      </c>
      <c r="K258" t="s">
        <v>1243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 t="s">
        <v>381</v>
      </c>
      <c r="B259" s="2">
        <v>65</v>
      </c>
      <c r="C259" s="2" t="s">
        <v>38</v>
      </c>
      <c r="D259" s="2" t="s">
        <v>31</v>
      </c>
      <c r="E259" s="2">
        <v>100</v>
      </c>
      <c r="F259">
        <v>1</v>
      </c>
      <c r="G259" t="b">
        <v>1</v>
      </c>
      <c r="H259">
        <v>0</v>
      </c>
      <c r="I259" t="s">
        <v>1212</v>
      </c>
      <c r="J259" t="s">
        <v>1227</v>
      </c>
      <c r="K259" t="s">
        <v>1243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 t="s">
        <v>382</v>
      </c>
      <c r="B260" s="2">
        <v>90</v>
      </c>
      <c r="C260" s="2" t="s">
        <v>23</v>
      </c>
      <c r="D260" s="2" t="s">
        <v>31</v>
      </c>
      <c r="E260" s="2">
        <v>100</v>
      </c>
      <c r="F260">
        <v>1</v>
      </c>
      <c r="G260" t="b">
        <v>0</v>
      </c>
      <c r="H260">
        <v>0</v>
      </c>
      <c r="I260" t="s">
        <v>1211</v>
      </c>
      <c r="K260" t="s">
        <v>1243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 t="s">
        <v>383</v>
      </c>
      <c r="B261" s="2">
        <v>75</v>
      </c>
      <c r="C261" s="2" t="s">
        <v>38</v>
      </c>
      <c r="D261" s="2" t="s">
        <v>31</v>
      </c>
      <c r="E261" s="2">
        <v>100</v>
      </c>
      <c r="F261">
        <v>1</v>
      </c>
      <c r="G261" t="b">
        <v>1</v>
      </c>
      <c r="H261">
        <v>0</v>
      </c>
      <c r="I261" t="s">
        <v>1212</v>
      </c>
      <c r="J261" t="s">
        <v>1227</v>
      </c>
      <c r="K261" t="s">
        <v>1243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 t="s">
        <v>384</v>
      </c>
      <c r="B262" s="2">
        <v>140</v>
      </c>
      <c r="C262" s="2" t="s">
        <v>32</v>
      </c>
      <c r="D262" s="2" t="s">
        <v>31</v>
      </c>
      <c r="E262" s="2">
        <v>100</v>
      </c>
      <c r="F262">
        <v>1</v>
      </c>
      <c r="G262" t="b">
        <v>1</v>
      </c>
      <c r="H262">
        <v>0</v>
      </c>
      <c r="I262" t="s">
        <v>1211</v>
      </c>
      <c r="K262" t="s">
        <v>1243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385</v>
      </c>
      <c r="B263" s="2">
        <v>80</v>
      </c>
      <c r="C263" s="2" t="s">
        <v>19</v>
      </c>
      <c r="D263" s="2" t="s">
        <v>42</v>
      </c>
      <c r="E263" s="2">
        <v>100</v>
      </c>
      <c r="F263">
        <v>1</v>
      </c>
      <c r="G263" t="b">
        <v>0</v>
      </c>
      <c r="H263">
        <v>0</v>
      </c>
      <c r="I263" t="s">
        <v>1211</v>
      </c>
      <c r="K263" t="s">
        <v>1243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386</v>
      </c>
      <c r="B264" s="2">
        <v>90</v>
      </c>
      <c r="C264" s="2" t="s">
        <v>43</v>
      </c>
      <c r="D264" s="2" t="s">
        <v>31</v>
      </c>
      <c r="E264" s="2">
        <v>100</v>
      </c>
      <c r="F264">
        <v>1</v>
      </c>
      <c r="G264" t="b">
        <v>1</v>
      </c>
      <c r="H264">
        <v>0</v>
      </c>
      <c r="I264" t="s">
        <v>1211</v>
      </c>
      <c r="K264" t="s">
        <v>1243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 t="s">
        <v>387</v>
      </c>
      <c r="B265" s="2">
        <v>130</v>
      </c>
      <c r="C265" s="2" t="s">
        <v>43</v>
      </c>
      <c r="D265" s="2" t="s">
        <v>42</v>
      </c>
      <c r="E265" s="2">
        <v>90</v>
      </c>
      <c r="F265">
        <v>1</v>
      </c>
      <c r="G265" t="b">
        <v>0</v>
      </c>
      <c r="H265">
        <v>0</v>
      </c>
      <c r="I265" t="s">
        <v>1211</v>
      </c>
      <c r="K265" t="s">
        <v>1243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>
      <c r="A266" t="s">
        <v>388</v>
      </c>
      <c r="B266" s="2">
        <v>65</v>
      </c>
      <c r="C266" s="2" t="s">
        <v>43</v>
      </c>
      <c r="D266" s="2" t="s">
        <v>42</v>
      </c>
      <c r="E266" s="2">
        <v>90</v>
      </c>
      <c r="F266">
        <v>1</v>
      </c>
      <c r="G266" t="b">
        <v>0</v>
      </c>
      <c r="H266">
        <v>0</v>
      </c>
      <c r="I266" t="s">
        <v>1211</v>
      </c>
      <c r="K266" t="s">
        <v>1243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 t="s">
        <v>389</v>
      </c>
      <c r="B267" s="2">
        <v>40</v>
      </c>
      <c r="C267" s="2" t="s">
        <v>43</v>
      </c>
      <c r="D267" s="2" t="s">
        <v>31</v>
      </c>
      <c r="E267" s="2">
        <v>100</v>
      </c>
      <c r="F267">
        <v>1</v>
      </c>
      <c r="G267" t="b">
        <v>0</v>
      </c>
      <c r="H267">
        <v>0</v>
      </c>
      <c r="I267" t="s">
        <v>1211</v>
      </c>
      <c r="K267" t="s">
        <v>1243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 t="s">
        <v>390</v>
      </c>
      <c r="B268" s="2">
        <v>80</v>
      </c>
      <c r="C268" s="2" t="s">
        <v>21</v>
      </c>
      <c r="D268" s="2" t="s">
        <v>31</v>
      </c>
      <c r="E268" s="2">
        <v>100</v>
      </c>
      <c r="F268">
        <v>1</v>
      </c>
      <c r="G268" t="b">
        <v>1</v>
      </c>
      <c r="H268">
        <v>0</v>
      </c>
      <c r="I268" t="s">
        <v>1211</v>
      </c>
      <c r="K268" t="s">
        <v>1243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 t="s">
        <v>391</v>
      </c>
      <c r="B269" s="2">
        <v>190</v>
      </c>
      <c r="C269" s="2" t="s">
        <v>44</v>
      </c>
      <c r="D269" s="2" t="s">
        <v>31</v>
      </c>
      <c r="E269" s="2">
        <v>100</v>
      </c>
      <c r="F269">
        <v>1</v>
      </c>
      <c r="G269" t="b">
        <v>0</v>
      </c>
      <c r="H269">
        <v>0</v>
      </c>
      <c r="I269" t="s">
        <v>1211</v>
      </c>
      <c r="K269" t="s">
        <v>1243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>
      <c r="A270" t="s">
        <v>392</v>
      </c>
      <c r="B270" s="2">
        <v>30</v>
      </c>
      <c r="C270" s="2" t="s">
        <v>46</v>
      </c>
      <c r="D270" s="2" t="s">
        <v>31</v>
      </c>
      <c r="E270" s="2">
        <v>100</v>
      </c>
      <c r="F270">
        <v>1</v>
      </c>
      <c r="G270" t="b">
        <v>1</v>
      </c>
      <c r="H270">
        <v>0</v>
      </c>
      <c r="I270" t="s">
        <v>1211</v>
      </c>
      <c r="K270" t="s">
        <v>1243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393</v>
      </c>
      <c r="B271" s="2">
        <v>140</v>
      </c>
      <c r="C271" s="2" t="s">
        <v>44</v>
      </c>
      <c r="D271" s="2" t="s">
        <v>42</v>
      </c>
      <c r="E271" s="2">
        <v>90</v>
      </c>
      <c r="F271">
        <v>1</v>
      </c>
      <c r="G271" t="b">
        <v>0</v>
      </c>
      <c r="H271">
        <v>0</v>
      </c>
      <c r="I271" t="s">
        <v>1211</v>
      </c>
      <c r="K271" t="s">
        <v>1243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394</v>
      </c>
      <c r="B272" s="2">
        <v>200</v>
      </c>
      <c r="C272" s="2" t="s">
        <v>22</v>
      </c>
      <c r="D272" s="2" t="s">
        <v>42</v>
      </c>
      <c r="E272" s="2">
        <v>100</v>
      </c>
      <c r="F272">
        <v>1</v>
      </c>
      <c r="G272" t="b">
        <v>0</v>
      </c>
      <c r="H272">
        <v>0</v>
      </c>
      <c r="I272" t="s">
        <v>1216</v>
      </c>
      <c r="J272" t="s">
        <v>1230</v>
      </c>
      <c r="K272" t="s">
        <v>1243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>
      <c r="A273" t="s">
        <v>102</v>
      </c>
      <c r="B273" s="2">
        <v>85</v>
      </c>
      <c r="C273" s="2" t="s">
        <v>34</v>
      </c>
      <c r="D273" s="2" t="s">
        <v>31</v>
      </c>
      <c r="E273" s="2">
        <v>100</v>
      </c>
      <c r="F273">
        <v>1</v>
      </c>
      <c r="G273" t="b">
        <v>1</v>
      </c>
      <c r="H273">
        <v>0</v>
      </c>
      <c r="I273" t="s">
        <v>1211</v>
      </c>
      <c r="K273" t="s">
        <v>1243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 t="s">
        <v>395</v>
      </c>
      <c r="B274" s="2">
        <v>0</v>
      </c>
      <c r="C274" s="2" t="s">
        <v>20</v>
      </c>
      <c r="D274" s="2" t="s">
        <v>31</v>
      </c>
      <c r="E274" s="2">
        <v>100</v>
      </c>
      <c r="F274">
        <v>1</v>
      </c>
      <c r="G274" t="b">
        <v>1</v>
      </c>
      <c r="H274">
        <v>0</v>
      </c>
      <c r="I274" t="s">
        <v>1212</v>
      </c>
      <c r="J274" t="s">
        <v>1227</v>
      </c>
      <c r="K274" t="s">
        <v>1243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396</v>
      </c>
      <c r="B275" s="2">
        <v>65</v>
      </c>
      <c r="C275" s="2" t="s">
        <v>20</v>
      </c>
      <c r="D275" s="2" t="s">
        <v>31</v>
      </c>
      <c r="E275" s="2">
        <v>100</v>
      </c>
      <c r="F275">
        <v>1</v>
      </c>
      <c r="G275" t="b">
        <v>1</v>
      </c>
      <c r="H275">
        <v>0</v>
      </c>
      <c r="I275" t="s">
        <v>1211</v>
      </c>
      <c r="K275" t="s">
        <v>1243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397</v>
      </c>
      <c r="B276" s="2">
        <v>80</v>
      </c>
      <c r="C276" s="2" t="s">
        <v>21</v>
      </c>
      <c r="D276" s="2" t="s">
        <v>31</v>
      </c>
      <c r="E276" s="2">
        <v>100</v>
      </c>
      <c r="F276">
        <v>1</v>
      </c>
      <c r="G276" t="b">
        <v>1</v>
      </c>
      <c r="H276">
        <v>0</v>
      </c>
      <c r="I276" t="s">
        <v>1211</v>
      </c>
      <c r="K276" t="s">
        <v>1243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398</v>
      </c>
      <c r="B277" s="2">
        <v>95</v>
      </c>
      <c r="C277" s="2" t="s">
        <v>22</v>
      </c>
      <c r="D277" s="2" t="s">
        <v>42</v>
      </c>
      <c r="E277" s="2">
        <v>100</v>
      </c>
      <c r="F277">
        <v>1</v>
      </c>
      <c r="G277" t="b">
        <v>0</v>
      </c>
      <c r="H277">
        <v>0</v>
      </c>
      <c r="I277" t="s">
        <v>1211</v>
      </c>
      <c r="K277" t="s">
        <v>1243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>
      <c r="A278" t="s">
        <v>399</v>
      </c>
      <c r="B278" s="2">
        <v>40</v>
      </c>
      <c r="C278" s="2" t="s">
        <v>20</v>
      </c>
      <c r="D278" s="2" t="s">
        <v>31</v>
      </c>
      <c r="E278" s="2">
        <v>100</v>
      </c>
      <c r="F278">
        <v>1</v>
      </c>
      <c r="G278" t="b">
        <v>1</v>
      </c>
      <c r="H278">
        <v>1</v>
      </c>
      <c r="I278" t="s">
        <v>1211</v>
      </c>
      <c r="K278" t="s">
        <v>1243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 t="s">
        <v>45</v>
      </c>
      <c r="B279" s="2">
        <v>60</v>
      </c>
      <c r="C279" s="2" t="s">
        <v>43</v>
      </c>
      <c r="D279" s="2" t="s">
        <v>42</v>
      </c>
      <c r="E279" s="2">
        <v>100</v>
      </c>
      <c r="F279">
        <v>1</v>
      </c>
      <c r="G279" t="b">
        <v>0</v>
      </c>
      <c r="H279">
        <v>0</v>
      </c>
      <c r="I279" t="s">
        <v>1211</v>
      </c>
      <c r="K279" t="s">
        <v>1243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400</v>
      </c>
      <c r="B280" s="2">
        <v>100</v>
      </c>
      <c r="C280" s="2" t="s">
        <v>19</v>
      </c>
      <c r="D280" s="2" t="s">
        <v>42</v>
      </c>
      <c r="E280" s="2">
        <v>75</v>
      </c>
      <c r="F280">
        <v>1</v>
      </c>
      <c r="G280" t="b">
        <v>0</v>
      </c>
      <c r="H280">
        <v>0</v>
      </c>
      <c r="I280" t="s">
        <v>1211</v>
      </c>
      <c r="K280" t="s">
        <v>1243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>
      <c r="A281" t="s">
        <v>401</v>
      </c>
      <c r="B281" s="2">
        <v>60</v>
      </c>
      <c r="C281" s="2" t="s">
        <v>24</v>
      </c>
      <c r="D281" s="2" t="s">
        <v>31</v>
      </c>
      <c r="E281" s="2">
        <v>100</v>
      </c>
      <c r="F281">
        <v>1</v>
      </c>
      <c r="G281" t="b">
        <v>0</v>
      </c>
      <c r="H281">
        <v>0</v>
      </c>
      <c r="I281" t="s">
        <v>1211</v>
      </c>
      <c r="K281" t="s">
        <v>1243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402</v>
      </c>
      <c r="B282" s="2">
        <v>0</v>
      </c>
      <c r="C282" s="2" t="s">
        <v>23</v>
      </c>
      <c r="D282" s="2" t="s">
        <v>31</v>
      </c>
      <c r="E282" s="2">
        <v>100</v>
      </c>
      <c r="F282">
        <v>1</v>
      </c>
      <c r="G282" t="b">
        <v>0</v>
      </c>
      <c r="H282">
        <v>0</v>
      </c>
      <c r="I282" t="s">
        <v>1212</v>
      </c>
      <c r="J282" t="s">
        <v>1227</v>
      </c>
      <c r="K282" t="s">
        <v>1243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>
      <c r="A283" t="s">
        <v>403</v>
      </c>
      <c r="B283" s="2">
        <v>180</v>
      </c>
      <c r="C283" s="2" t="s">
        <v>38</v>
      </c>
      <c r="D283" s="2" t="s">
        <v>31</v>
      </c>
      <c r="E283" s="2">
        <v>100</v>
      </c>
      <c r="F283">
        <v>1</v>
      </c>
      <c r="G283" t="b">
        <v>1</v>
      </c>
      <c r="H283">
        <v>0</v>
      </c>
      <c r="I283" t="s">
        <v>1211</v>
      </c>
      <c r="K283" t="s">
        <v>1243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>
      <c r="A284" t="s">
        <v>404</v>
      </c>
      <c r="B284" s="2">
        <v>10</v>
      </c>
      <c r="C284" s="2" t="s">
        <v>35</v>
      </c>
      <c r="D284" s="2" t="s">
        <v>31</v>
      </c>
      <c r="E284" s="2">
        <v>100</v>
      </c>
      <c r="F284">
        <v>1</v>
      </c>
      <c r="G284" t="b">
        <v>0</v>
      </c>
      <c r="H284">
        <v>0</v>
      </c>
      <c r="I284" t="s">
        <v>1211</v>
      </c>
      <c r="K284" t="s">
        <v>1243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>
      <c r="A285" t="s">
        <v>115</v>
      </c>
      <c r="B285" s="2">
        <v>10</v>
      </c>
      <c r="C285" s="2" t="s">
        <v>38</v>
      </c>
      <c r="D285" s="2" t="s">
        <v>31</v>
      </c>
      <c r="E285" s="2">
        <v>100</v>
      </c>
      <c r="F285">
        <v>1</v>
      </c>
      <c r="G285" t="b">
        <v>0</v>
      </c>
      <c r="H285">
        <v>0</v>
      </c>
      <c r="I285" t="s">
        <v>1211</v>
      </c>
      <c r="K285" t="s">
        <v>1243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 t="s">
        <v>405</v>
      </c>
      <c r="B286" s="2">
        <v>100</v>
      </c>
      <c r="C286" s="2" t="s">
        <v>19</v>
      </c>
      <c r="D286" s="2" t="s">
        <v>31</v>
      </c>
      <c r="E286" s="2">
        <v>100</v>
      </c>
      <c r="F286">
        <v>1</v>
      </c>
      <c r="G286" t="b">
        <v>0</v>
      </c>
      <c r="H286">
        <v>0</v>
      </c>
      <c r="I286" t="s">
        <v>1211</v>
      </c>
      <c r="K286" t="s">
        <v>1243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>
      <c r="A287" t="s">
        <v>406</v>
      </c>
      <c r="B287" s="2">
        <v>10</v>
      </c>
      <c r="C287" s="2" t="s">
        <v>21</v>
      </c>
      <c r="D287" s="2" t="s">
        <v>31</v>
      </c>
      <c r="E287" s="2">
        <v>100</v>
      </c>
      <c r="F287">
        <v>1</v>
      </c>
      <c r="G287" t="b">
        <v>0</v>
      </c>
      <c r="H287">
        <v>0</v>
      </c>
      <c r="I287" t="s">
        <v>1211</v>
      </c>
      <c r="K287" t="s">
        <v>1243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109</v>
      </c>
      <c r="B288" s="2">
        <v>10</v>
      </c>
      <c r="C288" s="2" t="s">
        <v>34</v>
      </c>
      <c r="D288" s="2" t="s">
        <v>31</v>
      </c>
      <c r="E288" s="2">
        <v>100</v>
      </c>
      <c r="F288">
        <v>1</v>
      </c>
      <c r="G288" t="b">
        <v>0</v>
      </c>
      <c r="H288">
        <v>0</v>
      </c>
      <c r="I288" t="s">
        <v>1211</v>
      </c>
      <c r="K288" t="s">
        <v>1243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>
      <c r="A289" t="s">
        <v>407</v>
      </c>
      <c r="B289" s="2">
        <v>10</v>
      </c>
      <c r="C289" s="2" t="s">
        <v>40</v>
      </c>
      <c r="D289" s="2" t="s">
        <v>31</v>
      </c>
      <c r="E289" s="2">
        <v>100</v>
      </c>
      <c r="F289">
        <v>1</v>
      </c>
      <c r="G289" t="b">
        <v>0</v>
      </c>
      <c r="H289">
        <v>0</v>
      </c>
      <c r="I289" t="s">
        <v>1211</v>
      </c>
      <c r="K289" t="s">
        <v>1243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>
      <c r="A290" t="s">
        <v>408</v>
      </c>
      <c r="B290" s="2">
        <v>10</v>
      </c>
      <c r="C290" s="2" t="s">
        <v>20</v>
      </c>
      <c r="D290" s="2" t="s">
        <v>31</v>
      </c>
      <c r="E290" s="2">
        <v>100</v>
      </c>
      <c r="F290">
        <v>1</v>
      </c>
      <c r="G290" t="b">
        <v>0</v>
      </c>
      <c r="H290">
        <v>0</v>
      </c>
      <c r="I290" t="s">
        <v>1211</v>
      </c>
      <c r="K290" t="s">
        <v>1243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>
      <c r="A291" t="s">
        <v>409</v>
      </c>
      <c r="B291" s="2">
        <v>10</v>
      </c>
      <c r="C291" s="2" t="s">
        <v>41</v>
      </c>
      <c r="D291" s="2" t="s">
        <v>31</v>
      </c>
      <c r="E291" s="2">
        <v>100</v>
      </c>
      <c r="F291">
        <v>1</v>
      </c>
      <c r="G291" t="b">
        <v>0</v>
      </c>
      <c r="H291">
        <v>0</v>
      </c>
      <c r="I291" t="s">
        <v>1211</v>
      </c>
      <c r="K291" t="s">
        <v>1243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>
      <c r="A292" t="s">
        <v>410</v>
      </c>
      <c r="B292" s="2">
        <v>10</v>
      </c>
      <c r="C292" s="2" t="s">
        <v>22</v>
      </c>
      <c r="D292" s="2" t="s">
        <v>31</v>
      </c>
      <c r="E292" s="2">
        <v>100</v>
      </c>
      <c r="F292">
        <v>1</v>
      </c>
      <c r="G292" t="b">
        <v>0</v>
      </c>
      <c r="H292">
        <v>0</v>
      </c>
      <c r="I292" t="s">
        <v>1211</v>
      </c>
      <c r="K292" t="s">
        <v>1243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 t="s">
        <v>411</v>
      </c>
      <c r="B293" s="2">
        <v>10</v>
      </c>
      <c r="C293" s="2" t="s">
        <v>53</v>
      </c>
      <c r="D293" s="2" t="s">
        <v>31</v>
      </c>
      <c r="E293" s="2">
        <v>100</v>
      </c>
      <c r="F293">
        <v>1</v>
      </c>
      <c r="G293" t="b">
        <v>0</v>
      </c>
      <c r="H293">
        <v>0</v>
      </c>
      <c r="I293" t="s">
        <v>1211</v>
      </c>
      <c r="K293" t="s">
        <v>1243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63</v>
      </c>
      <c r="B294" s="2">
        <v>10</v>
      </c>
      <c r="C294" s="2" t="s">
        <v>43</v>
      </c>
      <c r="D294" s="2" t="s">
        <v>31</v>
      </c>
      <c r="E294" s="2">
        <v>100</v>
      </c>
      <c r="F294">
        <v>1</v>
      </c>
      <c r="G294" t="b">
        <v>0</v>
      </c>
      <c r="H294">
        <v>0</v>
      </c>
      <c r="I294" t="s">
        <v>1211</v>
      </c>
      <c r="K294" t="s">
        <v>1243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>
      <c r="A295" t="s">
        <v>412</v>
      </c>
      <c r="B295" s="2">
        <v>10</v>
      </c>
      <c r="C295" s="2" t="s">
        <v>46</v>
      </c>
      <c r="D295" s="2" t="s">
        <v>31</v>
      </c>
      <c r="E295" s="2">
        <v>100</v>
      </c>
      <c r="F295">
        <v>1</v>
      </c>
      <c r="G295" t="b">
        <v>0</v>
      </c>
      <c r="H295">
        <v>0</v>
      </c>
      <c r="I295" t="s">
        <v>1211</v>
      </c>
      <c r="K295" t="s">
        <v>1243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>
      <c r="A296" t="s">
        <v>413</v>
      </c>
      <c r="B296" s="2">
        <v>10</v>
      </c>
      <c r="C296" s="2" t="s">
        <v>23</v>
      </c>
      <c r="D296" s="2" t="s">
        <v>31</v>
      </c>
      <c r="E296" s="2">
        <v>100</v>
      </c>
      <c r="F296">
        <v>1</v>
      </c>
      <c r="G296" t="b">
        <v>0</v>
      </c>
      <c r="H296">
        <v>0</v>
      </c>
      <c r="I296" t="s">
        <v>1211</v>
      </c>
      <c r="K296" t="s">
        <v>1243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>
      <c r="A297" t="s">
        <v>124</v>
      </c>
      <c r="B297" s="2">
        <v>10</v>
      </c>
      <c r="C297" s="2" t="s">
        <v>25</v>
      </c>
      <c r="D297" s="2" t="s">
        <v>31</v>
      </c>
      <c r="E297" s="2">
        <v>100</v>
      </c>
      <c r="F297">
        <v>1</v>
      </c>
      <c r="G297" t="b">
        <v>0</v>
      </c>
      <c r="H297">
        <v>0</v>
      </c>
      <c r="I297" t="s">
        <v>1211</v>
      </c>
      <c r="K297" t="s">
        <v>1243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>
      <c r="A298" t="s">
        <v>414</v>
      </c>
      <c r="B298" s="2">
        <v>10</v>
      </c>
      <c r="C298" s="2" t="s">
        <v>44</v>
      </c>
      <c r="D298" s="2" t="s">
        <v>31</v>
      </c>
      <c r="E298" s="2">
        <v>100</v>
      </c>
      <c r="F298">
        <v>1</v>
      </c>
      <c r="G298" t="b">
        <v>0</v>
      </c>
      <c r="H298">
        <v>0</v>
      </c>
      <c r="I298" t="s">
        <v>1211</v>
      </c>
      <c r="K298" t="s">
        <v>1243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>
      <c r="A299" t="s">
        <v>415</v>
      </c>
      <c r="B299" s="2">
        <v>10</v>
      </c>
      <c r="C299" s="2" t="s">
        <v>24</v>
      </c>
      <c r="D299" s="2" t="s">
        <v>31</v>
      </c>
      <c r="E299" s="2">
        <v>100</v>
      </c>
      <c r="F299">
        <v>1</v>
      </c>
      <c r="G299" t="b">
        <v>0</v>
      </c>
      <c r="H299">
        <v>0</v>
      </c>
      <c r="I299" t="s">
        <v>1211</v>
      </c>
      <c r="K299" t="s">
        <v>1243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64</v>
      </c>
      <c r="B300" s="2">
        <v>10</v>
      </c>
      <c r="C300" s="2" t="s">
        <v>32</v>
      </c>
      <c r="D300" s="2" t="s">
        <v>31</v>
      </c>
      <c r="E300" s="2">
        <v>100</v>
      </c>
      <c r="F300">
        <v>1</v>
      </c>
      <c r="G300" t="b">
        <v>0</v>
      </c>
      <c r="H300">
        <v>0</v>
      </c>
      <c r="I300" t="s">
        <v>1211</v>
      </c>
      <c r="K300" t="s">
        <v>1243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 t="s">
        <v>416</v>
      </c>
      <c r="B301" s="2">
        <v>10</v>
      </c>
      <c r="C301" s="2" t="s">
        <v>47</v>
      </c>
      <c r="D301" s="2" t="s">
        <v>31</v>
      </c>
      <c r="E301" s="2">
        <v>100</v>
      </c>
      <c r="F301">
        <v>1</v>
      </c>
      <c r="G301" t="b">
        <v>0</v>
      </c>
      <c r="H301">
        <v>0</v>
      </c>
      <c r="I301" t="s">
        <v>1211</v>
      </c>
      <c r="K301" t="s">
        <v>1243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>
      <c r="A302" t="s">
        <v>417</v>
      </c>
      <c r="B302" s="2">
        <v>40</v>
      </c>
      <c r="C302" s="2" t="s">
        <v>43</v>
      </c>
      <c r="D302" s="2" t="s">
        <v>42</v>
      </c>
      <c r="E302" s="2">
        <v>100</v>
      </c>
      <c r="F302">
        <v>1</v>
      </c>
      <c r="G302" t="b">
        <v>0</v>
      </c>
      <c r="H302">
        <v>0</v>
      </c>
      <c r="I302" t="s">
        <v>1211</v>
      </c>
      <c r="K302" t="s">
        <v>1243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 t="s">
        <v>418</v>
      </c>
      <c r="B303" s="2">
        <v>120</v>
      </c>
      <c r="C303" s="2" t="s">
        <v>32</v>
      </c>
      <c r="D303" s="2" t="s">
        <v>31</v>
      </c>
      <c r="E303" s="2">
        <v>75</v>
      </c>
      <c r="F303">
        <v>1</v>
      </c>
      <c r="G303" t="b">
        <v>1</v>
      </c>
      <c r="H303">
        <v>0</v>
      </c>
      <c r="I303" t="s">
        <v>1211</v>
      </c>
      <c r="K303" t="s">
        <v>1243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 t="s">
        <v>419</v>
      </c>
      <c r="B304" s="2">
        <v>80</v>
      </c>
      <c r="C304" s="2" t="s">
        <v>32</v>
      </c>
      <c r="D304" s="2" t="s">
        <v>31</v>
      </c>
      <c r="E304" s="2">
        <v>85</v>
      </c>
      <c r="F304">
        <v>1</v>
      </c>
      <c r="G304" t="b">
        <v>1</v>
      </c>
      <c r="H304">
        <v>0</v>
      </c>
      <c r="I304" t="s">
        <v>1211</v>
      </c>
      <c r="K304" t="s">
        <v>1243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>
      <c r="A305" t="s">
        <v>113</v>
      </c>
      <c r="B305" s="2">
        <v>120</v>
      </c>
      <c r="C305" s="2" t="s">
        <v>21</v>
      </c>
      <c r="D305" s="2" t="s">
        <v>31</v>
      </c>
      <c r="E305" s="2">
        <v>85</v>
      </c>
      <c r="F305">
        <v>1</v>
      </c>
      <c r="G305" t="b">
        <v>1</v>
      </c>
      <c r="H305">
        <v>0</v>
      </c>
      <c r="I305" t="s">
        <v>1211</v>
      </c>
      <c r="K305" t="s">
        <v>1243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 t="s">
        <v>420</v>
      </c>
      <c r="B306" s="2">
        <v>200</v>
      </c>
      <c r="C306" s="2" t="s">
        <v>46</v>
      </c>
      <c r="D306" s="2" t="s">
        <v>42</v>
      </c>
      <c r="E306" s="2">
        <v>100</v>
      </c>
      <c r="F306">
        <v>1</v>
      </c>
      <c r="G306" t="b">
        <v>0</v>
      </c>
      <c r="H306">
        <v>0</v>
      </c>
      <c r="I306" t="s">
        <v>1211</v>
      </c>
      <c r="K306" t="s">
        <v>1243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>
      <c r="A307" t="s">
        <v>421</v>
      </c>
      <c r="B307" s="2">
        <v>0</v>
      </c>
      <c r="C307" s="2" t="s">
        <v>24</v>
      </c>
      <c r="D307" s="2" t="s">
        <v>31</v>
      </c>
      <c r="E307" s="2">
        <v>100</v>
      </c>
      <c r="F307">
        <v>1</v>
      </c>
      <c r="G307" t="b">
        <v>0</v>
      </c>
      <c r="H307">
        <v>0</v>
      </c>
      <c r="I307" t="s">
        <v>1213</v>
      </c>
      <c r="J307" t="s">
        <v>1228</v>
      </c>
      <c r="K307" t="s">
        <v>1244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 t="s">
        <v>126</v>
      </c>
      <c r="B308" s="2">
        <v>50</v>
      </c>
      <c r="C308" s="2" t="s">
        <v>24</v>
      </c>
      <c r="D308" s="2" t="s">
        <v>31</v>
      </c>
      <c r="E308" s="2">
        <v>95</v>
      </c>
      <c r="F308">
        <v>1</v>
      </c>
      <c r="G308" t="b">
        <v>1</v>
      </c>
      <c r="H308">
        <v>0</v>
      </c>
      <c r="I308" t="s">
        <v>1211</v>
      </c>
      <c r="K308" t="s">
        <v>1243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>
      <c r="A309" t="s">
        <v>422</v>
      </c>
      <c r="B309" s="2">
        <v>150</v>
      </c>
      <c r="C309" s="2" t="s">
        <v>20</v>
      </c>
      <c r="D309" s="2" t="s">
        <v>31</v>
      </c>
      <c r="E309" s="2">
        <v>100</v>
      </c>
      <c r="F309">
        <v>1</v>
      </c>
      <c r="G309" t="b">
        <v>0</v>
      </c>
      <c r="H309">
        <v>0</v>
      </c>
      <c r="I309" t="s">
        <v>1211</v>
      </c>
      <c r="K309" t="s">
        <v>1243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>
      <c r="A310" t="s">
        <v>423</v>
      </c>
      <c r="B310" s="2">
        <v>120</v>
      </c>
      <c r="C310" s="2" t="s">
        <v>25</v>
      </c>
      <c r="D310" s="2" t="s">
        <v>42</v>
      </c>
      <c r="E310" s="2">
        <v>90</v>
      </c>
      <c r="F310">
        <v>1</v>
      </c>
      <c r="G310" t="b">
        <v>0</v>
      </c>
      <c r="H310">
        <v>0</v>
      </c>
      <c r="I310" t="s">
        <v>1211</v>
      </c>
      <c r="K310" t="s">
        <v>1243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424</v>
      </c>
      <c r="B311" s="2">
        <v>90</v>
      </c>
      <c r="C311" s="2" t="s">
        <v>24</v>
      </c>
      <c r="D311" s="2" t="s">
        <v>31</v>
      </c>
      <c r="E311" s="2">
        <v>90</v>
      </c>
      <c r="F311">
        <v>1</v>
      </c>
      <c r="G311" t="b">
        <v>1</v>
      </c>
      <c r="H311">
        <v>0</v>
      </c>
      <c r="I311" t="s">
        <v>1211</v>
      </c>
      <c r="K311" t="s">
        <v>1243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 t="s">
        <v>425</v>
      </c>
      <c r="B312" s="2">
        <v>150</v>
      </c>
      <c r="C312" s="2" t="s">
        <v>19</v>
      </c>
      <c r="D312" s="2" t="s">
        <v>42</v>
      </c>
      <c r="E312" s="2">
        <v>100</v>
      </c>
      <c r="F312">
        <v>1</v>
      </c>
      <c r="G312" t="b">
        <v>0</v>
      </c>
      <c r="H312">
        <v>0</v>
      </c>
      <c r="I312" t="s">
        <v>1211</v>
      </c>
      <c r="K312" t="s">
        <v>1243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>
      <c r="A313" t="s">
        <v>426</v>
      </c>
      <c r="B313" s="2">
        <v>0</v>
      </c>
      <c r="C313" s="2" t="s">
        <v>22</v>
      </c>
      <c r="D313" s="2" t="s">
        <v>42</v>
      </c>
      <c r="E313" s="2">
        <v>100</v>
      </c>
      <c r="F313">
        <v>1</v>
      </c>
      <c r="G313" t="b">
        <v>0</v>
      </c>
      <c r="H313">
        <v>-6</v>
      </c>
      <c r="I313" t="s">
        <v>1213</v>
      </c>
      <c r="J313" t="s">
        <v>1228</v>
      </c>
      <c r="K313" t="s">
        <v>1249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>
      <c r="A314" t="s">
        <v>427</v>
      </c>
      <c r="B314" s="2">
        <v>65</v>
      </c>
      <c r="C314" s="2" t="s">
        <v>24</v>
      </c>
      <c r="D314" s="2" t="s">
        <v>42</v>
      </c>
      <c r="E314" s="2">
        <v>85</v>
      </c>
      <c r="F314">
        <v>1</v>
      </c>
      <c r="G314" t="b">
        <v>0</v>
      </c>
      <c r="H314">
        <v>0</v>
      </c>
      <c r="I314" t="s">
        <v>1211</v>
      </c>
      <c r="K314" t="s">
        <v>1243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>
      <c r="A315" t="s">
        <v>428</v>
      </c>
      <c r="B315" s="2">
        <v>95</v>
      </c>
      <c r="C315" s="2" t="s">
        <v>22</v>
      </c>
      <c r="D315" s="2" t="s">
        <v>42</v>
      </c>
      <c r="E315" s="2">
        <v>100</v>
      </c>
      <c r="F315">
        <v>1</v>
      </c>
      <c r="G315" t="b">
        <v>0</v>
      </c>
      <c r="H315">
        <v>0</v>
      </c>
      <c r="I315" t="s">
        <v>1211</v>
      </c>
      <c r="K315" t="s">
        <v>1243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>
      <c r="A316" t="s">
        <v>429</v>
      </c>
      <c r="B316" s="2">
        <v>100</v>
      </c>
      <c r="C316" s="2" t="s">
        <v>44</v>
      </c>
      <c r="D316" s="2" t="s">
        <v>42</v>
      </c>
      <c r="E316" s="2">
        <v>100</v>
      </c>
      <c r="F316">
        <v>1</v>
      </c>
      <c r="G316" t="b">
        <v>0</v>
      </c>
      <c r="H316">
        <v>0</v>
      </c>
      <c r="I316" t="s">
        <v>1212</v>
      </c>
      <c r="J316" t="s">
        <v>1227</v>
      </c>
      <c r="K316" t="s">
        <v>1243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>
      <c r="A317" t="s">
        <v>430</v>
      </c>
      <c r="B317" s="2">
        <v>95</v>
      </c>
      <c r="C317" s="2" t="s">
        <v>44</v>
      </c>
      <c r="D317" s="2" t="s">
        <v>42</v>
      </c>
      <c r="E317" s="2">
        <v>100</v>
      </c>
      <c r="F317">
        <v>1</v>
      </c>
      <c r="G317" t="b">
        <v>0</v>
      </c>
      <c r="H317">
        <v>0</v>
      </c>
      <c r="I317" t="s">
        <v>1211</v>
      </c>
      <c r="K317" t="s">
        <v>1243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 t="s">
        <v>431</v>
      </c>
      <c r="B318" s="2">
        <v>100</v>
      </c>
      <c r="C318" s="2" t="s">
        <v>46</v>
      </c>
      <c r="D318" s="2" t="s">
        <v>42</v>
      </c>
      <c r="E318" s="2">
        <v>100</v>
      </c>
      <c r="F318">
        <v>1</v>
      </c>
      <c r="G318" t="b">
        <v>0</v>
      </c>
      <c r="H318">
        <v>0</v>
      </c>
      <c r="I318" t="s">
        <v>1211</v>
      </c>
      <c r="K318" t="s">
        <v>1243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 t="s">
        <v>432</v>
      </c>
      <c r="B319" s="2">
        <v>100</v>
      </c>
      <c r="C319" s="2" t="s">
        <v>40</v>
      </c>
      <c r="D319" s="2" t="s">
        <v>31</v>
      </c>
      <c r="E319" s="2">
        <v>85</v>
      </c>
      <c r="F319">
        <v>1</v>
      </c>
      <c r="G319" t="b">
        <v>1</v>
      </c>
      <c r="H319">
        <v>0</v>
      </c>
      <c r="I319" t="s">
        <v>1211</v>
      </c>
      <c r="K319" t="s">
        <v>1243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433</v>
      </c>
      <c r="B320" s="2">
        <v>65</v>
      </c>
      <c r="C320" s="2" t="s">
        <v>23</v>
      </c>
      <c r="D320" s="2" t="s">
        <v>42</v>
      </c>
      <c r="E320" s="2">
        <v>85</v>
      </c>
      <c r="F320">
        <v>1</v>
      </c>
      <c r="G320" t="b">
        <v>0</v>
      </c>
      <c r="H320">
        <v>0</v>
      </c>
      <c r="I320" t="s">
        <v>1211</v>
      </c>
      <c r="K320" t="s">
        <v>1243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 t="s">
        <v>434</v>
      </c>
      <c r="B321" s="2">
        <v>55</v>
      </c>
      <c r="C321" s="2" t="s">
        <v>23</v>
      </c>
      <c r="D321" s="2" t="s">
        <v>42</v>
      </c>
      <c r="E321" s="2">
        <v>95</v>
      </c>
      <c r="F321">
        <v>1</v>
      </c>
      <c r="G321" t="b">
        <v>0</v>
      </c>
      <c r="H321">
        <v>0</v>
      </c>
      <c r="I321" t="s">
        <v>1211</v>
      </c>
      <c r="K321" t="s">
        <v>1243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>
      <c r="A322" t="s">
        <v>127</v>
      </c>
      <c r="B322" s="2">
        <v>20</v>
      </c>
      <c r="C322" s="2" t="s">
        <v>23</v>
      </c>
      <c r="D322" s="2" t="s">
        <v>42</v>
      </c>
      <c r="E322" s="2">
        <v>100</v>
      </c>
      <c r="F322">
        <v>1</v>
      </c>
      <c r="G322" t="b">
        <v>0</v>
      </c>
      <c r="H322">
        <v>0</v>
      </c>
      <c r="I322" t="s">
        <v>1211</v>
      </c>
      <c r="K322" t="s">
        <v>1243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 t="s">
        <v>435</v>
      </c>
      <c r="B323" s="2">
        <v>90</v>
      </c>
      <c r="C323" s="2" t="s">
        <v>34</v>
      </c>
      <c r="D323" s="2" t="s">
        <v>42</v>
      </c>
      <c r="E323" s="2">
        <v>85</v>
      </c>
      <c r="F323">
        <v>1</v>
      </c>
      <c r="G323" t="b">
        <v>0</v>
      </c>
      <c r="H323">
        <v>0</v>
      </c>
      <c r="I323" t="s">
        <v>1211</v>
      </c>
      <c r="K323" t="s">
        <v>1243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>
      <c r="A324" t="s">
        <v>436</v>
      </c>
      <c r="B324" s="2">
        <v>120</v>
      </c>
      <c r="C324" s="2" t="s">
        <v>32</v>
      </c>
      <c r="D324" s="2" t="s">
        <v>31</v>
      </c>
      <c r="E324" s="2">
        <v>100</v>
      </c>
      <c r="F324">
        <v>1</v>
      </c>
      <c r="G324" t="b">
        <v>1</v>
      </c>
      <c r="H324">
        <v>0</v>
      </c>
      <c r="I324" t="s">
        <v>1216</v>
      </c>
      <c r="J324" t="s">
        <v>1230</v>
      </c>
      <c r="K324" t="s">
        <v>1243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>
      <c r="A325" t="s">
        <v>437</v>
      </c>
      <c r="B325" s="2">
        <v>75</v>
      </c>
      <c r="C325" s="2" t="s">
        <v>19</v>
      </c>
      <c r="D325" s="2" t="s">
        <v>42</v>
      </c>
      <c r="E325" s="2">
        <v>100</v>
      </c>
      <c r="F325">
        <v>1</v>
      </c>
      <c r="G325" t="b">
        <v>0</v>
      </c>
      <c r="H325">
        <v>0</v>
      </c>
      <c r="I325" t="s">
        <v>1211</v>
      </c>
      <c r="K325" t="s">
        <v>1243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438</v>
      </c>
      <c r="B326" s="2">
        <v>70</v>
      </c>
      <c r="C326" s="2" t="s">
        <v>22</v>
      </c>
      <c r="D326" s="2" t="s">
        <v>42</v>
      </c>
      <c r="E326" s="2">
        <v>90</v>
      </c>
      <c r="F326">
        <v>1</v>
      </c>
      <c r="G326" t="b">
        <v>0</v>
      </c>
      <c r="H326">
        <v>0</v>
      </c>
      <c r="I326" t="s">
        <v>1211</v>
      </c>
      <c r="K326" t="s">
        <v>1243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>
      <c r="A327" t="s">
        <v>439</v>
      </c>
      <c r="B327" s="2">
        <v>0</v>
      </c>
      <c r="C327" s="2" t="s">
        <v>32</v>
      </c>
      <c r="D327" s="2" t="s">
        <v>31</v>
      </c>
      <c r="E327" s="2">
        <v>100</v>
      </c>
      <c r="F327">
        <v>1</v>
      </c>
      <c r="G327" t="b">
        <v>0</v>
      </c>
      <c r="H327">
        <v>0</v>
      </c>
      <c r="I327" t="s">
        <v>1212</v>
      </c>
      <c r="J327" t="s">
        <v>1227</v>
      </c>
      <c r="K327" t="s">
        <v>1243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>
      <c r="A328" t="s">
        <v>440</v>
      </c>
      <c r="B328" s="2">
        <v>0</v>
      </c>
      <c r="C328" s="2" t="s">
        <v>44</v>
      </c>
      <c r="D328" s="2" t="s">
        <v>42</v>
      </c>
      <c r="E328" s="2">
        <v>90</v>
      </c>
      <c r="F328">
        <v>1</v>
      </c>
      <c r="G328" t="b">
        <v>0</v>
      </c>
      <c r="H328">
        <v>0</v>
      </c>
      <c r="I328" t="s">
        <v>1211</v>
      </c>
      <c r="K328" t="s">
        <v>1243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>
      <c r="A329" t="s">
        <v>441</v>
      </c>
      <c r="B329" s="2">
        <v>60</v>
      </c>
      <c r="C329" s="2" t="s">
        <v>43</v>
      </c>
      <c r="D329" s="2" t="s">
        <v>31</v>
      </c>
      <c r="E329" s="2">
        <v>100</v>
      </c>
      <c r="F329">
        <v>1</v>
      </c>
      <c r="G329" t="b">
        <v>1</v>
      </c>
      <c r="H329">
        <v>0</v>
      </c>
      <c r="I329" t="s">
        <v>1211</v>
      </c>
      <c r="K329" t="s">
        <v>1243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442</v>
      </c>
      <c r="B330" s="2">
        <v>85</v>
      </c>
      <c r="C330" s="2" t="s">
        <v>38</v>
      </c>
      <c r="D330" s="2" t="s">
        <v>42</v>
      </c>
      <c r="E330" s="2">
        <v>95</v>
      </c>
      <c r="F330">
        <v>1</v>
      </c>
      <c r="G330" t="b">
        <v>0</v>
      </c>
      <c r="H330">
        <v>0</v>
      </c>
      <c r="I330" t="s">
        <v>1211</v>
      </c>
      <c r="K330" t="s">
        <v>1243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>
      <c r="A331" t="s">
        <v>443</v>
      </c>
      <c r="B331" s="2">
        <v>0</v>
      </c>
      <c r="C331" s="2" t="s">
        <v>46</v>
      </c>
      <c r="D331" s="2" t="s">
        <v>42</v>
      </c>
      <c r="E331" s="2">
        <v>100</v>
      </c>
      <c r="F331">
        <v>1</v>
      </c>
      <c r="G331" t="b">
        <v>0</v>
      </c>
      <c r="H331">
        <v>0</v>
      </c>
      <c r="I331" t="s">
        <v>1213</v>
      </c>
      <c r="J331" t="s">
        <v>1228</v>
      </c>
      <c r="K331" t="s">
        <v>1243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>
      <c r="A332" t="s">
        <v>444</v>
      </c>
      <c r="B332" s="2">
        <v>70</v>
      </c>
      <c r="C332" s="2" t="s">
        <v>38</v>
      </c>
      <c r="D332" s="2" t="s">
        <v>31</v>
      </c>
      <c r="E332" s="2">
        <v>100</v>
      </c>
      <c r="F332">
        <v>1</v>
      </c>
      <c r="G332" t="b">
        <v>1</v>
      </c>
      <c r="H332">
        <v>0</v>
      </c>
      <c r="I332" t="s">
        <v>1211</v>
      </c>
      <c r="K332" t="s">
        <v>1243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>
      <c r="A333" t="s">
        <v>128</v>
      </c>
      <c r="B333" s="2">
        <v>20</v>
      </c>
      <c r="C333" s="2" t="s">
        <v>41</v>
      </c>
      <c r="D333" s="2" t="s">
        <v>31</v>
      </c>
      <c r="E333" s="2">
        <v>100</v>
      </c>
      <c r="F333">
        <v>1</v>
      </c>
      <c r="G333" t="b">
        <v>1</v>
      </c>
      <c r="H333">
        <v>0</v>
      </c>
      <c r="I333" t="s">
        <v>1211</v>
      </c>
      <c r="K333" t="s">
        <v>1243</v>
      </c>
      <c r="L333" t="s">
        <v>1300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>
      <c r="A334" t="s">
        <v>445</v>
      </c>
      <c r="B334" s="2">
        <v>80</v>
      </c>
      <c r="C334" s="2" t="s">
        <v>35</v>
      </c>
      <c r="D334" s="2" t="s">
        <v>42</v>
      </c>
      <c r="E334" s="2">
        <v>100</v>
      </c>
      <c r="F334">
        <v>1</v>
      </c>
      <c r="G334" t="b">
        <v>0</v>
      </c>
      <c r="H334">
        <v>0</v>
      </c>
      <c r="I334" t="s">
        <v>1211</v>
      </c>
      <c r="K334" t="s">
        <v>1243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 t="s">
        <v>446</v>
      </c>
      <c r="B335" s="2">
        <v>195</v>
      </c>
      <c r="C335" s="2" t="s">
        <v>34</v>
      </c>
      <c r="D335" s="2" t="s">
        <v>42</v>
      </c>
      <c r="E335" s="2">
        <v>100</v>
      </c>
      <c r="F335">
        <v>1</v>
      </c>
      <c r="G335" t="b">
        <v>0</v>
      </c>
      <c r="H335">
        <v>0</v>
      </c>
      <c r="I335" t="s">
        <v>1211</v>
      </c>
      <c r="K335" t="s">
        <v>1243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>
      <c r="A336" t="s">
        <v>447</v>
      </c>
      <c r="B336" s="2">
        <v>65</v>
      </c>
      <c r="C336" s="2" t="s">
        <v>34</v>
      </c>
      <c r="D336" s="2" t="s">
        <v>42</v>
      </c>
      <c r="E336" s="2">
        <v>85</v>
      </c>
      <c r="F336">
        <v>1</v>
      </c>
      <c r="G336" t="b">
        <v>0</v>
      </c>
      <c r="H336">
        <v>0</v>
      </c>
      <c r="I336" t="s">
        <v>1211</v>
      </c>
      <c r="K336" t="s">
        <v>1243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>
      <c r="A337" t="s">
        <v>448</v>
      </c>
      <c r="B337" s="2">
        <v>60</v>
      </c>
      <c r="C337" s="2" t="s">
        <v>46</v>
      </c>
      <c r="D337" s="2" t="s">
        <v>42</v>
      </c>
      <c r="E337" s="2">
        <v>100</v>
      </c>
      <c r="F337">
        <v>1</v>
      </c>
      <c r="G337" t="b">
        <v>0</v>
      </c>
      <c r="H337">
        <v>0</v>
      </c>
      <c r="I337" t="s">
        <v>1211</v>
      </c>
      <c r="K337" t="s">
        <v>1243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 t="s">
        <v>449</v>
      </c>
      <c r="B338" s="2">
        <v>110</v>
      </c>
      <c r="C338" s="2" t="s">
        <v>34</v>
      </c>
      <c r="D338" s="2" t="s">
        <v>42</v>
      </c>
      <c r="E338" s="2">
        <v>85</v>
      </c>
      <c r="F338">
        <v>1</v>
      </c>
      <c r="G338" t="b">
        <v>0</v>
      </c>
      <c r="H338">
        <v>0</v>
      </c>
      <c r="I338" t="s">
        <v>1211</v>
      </c>
      <c r="K338" t="s">
        <v>1243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 t="s">
        <v>450</v>
      </c>
      <c r="B339" s="2">
        <v>120</v>
      </c>
      <c r="C339" s="2" t="s">
        <v>47</v>
      </c>
      <c r="D339" s="2" t="s">
        <v>31</v>
      </c>
      <c r="E339" s="2">
        <v>100</v>
      </c>
      <c r="F339">
        <v>1</v>
      </c>
      <c r="G339" t="b">
        <v>1</v>
      </c>
      <c r="H339">
        <v>0</v>
      </c>
      <c r="I339" t="s">
        <v>1211</v>
      </c>
      <c r="K339" t="s">
        <v>1243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>
      <c r="A340" t="s">
        <v>451</v>
      </c>
      <c r="B340" s="2">
        <v>80</v>
      </c>
      <c r="C340" s="2" t="s">
        <v>41</v>
      </c>
      <c r="D340" s="2" t="s">
        <v>42</v>
      </c>
      <c r="E340" s="2">
        <v>100</v>
      </c>
      <c r="F340">
        <v>1</v>
      </c>
      <c r="G340" t="b">
        <v>0</v>
      </c>
      <c r="H340">
        <v>0</v>
      </c>
      <c r="I340" t="s">
        <v>1211</v>
      </c>
      <c r="K340" t="s">
        <v>1243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 t="s">
        <v>452</v>
      </c>
      <c r="B341" s="2">
        <v>130</v>
      </c>
      <c r="C341" s="2" t="s">
        <v>19</v>
      </c>
      <c r="D341" s="2" t="s">
        <v>42</v>
      </c>
      <c r="E341" s="2">
        <v>90</v>
      </c>
      <c r="F341">
        <v>1</v>
      </c>
      <c r="G341" t="b">
        <v>0</v>
      </c>
      <c r="H341">
        <v>0</v>
      </c>
      <c r="I341" t="s">
        <v>1211</v>
      </c>
      <c r="K341" t="s">
        <v>1243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>
      <c r="A342" t="s">
        <v>453</v>
      </c>
      <c r="B342" s="2">
        <v>65</v>
      </c>
      <c r="C342" s="2" t="s">
        <v>41</v>
      </c>
      <c r="D342" s="2" t="s">
        <v>42</v>
      </c>
      <c r="E342" s="2">
        <v>100</v>
      </c>
      <c r="F342">
        <v>1</v>
      </c>
      <c r="G342" t="b">
        <v>0</v>
      </c>
      <c r="H342">
        <v>0</v>
      </c>
      <c r="I342" t="s">
        <v>1211</v>
      </c>
      <c r="K342" t="s">
        <v>1243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 t="s">
        <v>454</v>
      </c>
      <c r="B343" s="2">
        <v>40</v>
      </c>
      <c r="C343" s="2" t="s">
        <v>32</v>
      </c>
      <c r="D343" s="2" t="s">
        <v>31</v>
      </c>
      <c r="E343" s="2">
        <v>100</v>
      </c>
      <c r="F343">
        <v>1</v>
      </c>
      <c r="G343" t="b">
        <v>0</v>
      </c>
      <c r="H343">
        <v>0</v>
      </c>
      <c r="I343" t="s">
        <v>1211</v>
      </c>
      <c r="K343" t="s">
        <v>1243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 t="s">
        <v>455</v>
      </c>
      <c r="B344" s="2">
        <v>50</v>
      </c>
      <c r="C344" s="2" t="s">
        <v>38</v>
      </c>
      <c r="D344" s="2" t="s">
        <v>31</v>
      </c>
      <c r="E344" s="2">
        <v>100</v>
      </c>
      <c r="F344">
        <v>1</v>
      </c>
      <c r="G344" t="b">
        <v>1</v>
      </c>
      <c r="H344">
        <v>0</v>
      </c>
      <c r="I344" t="s">
        <v>1212</v>
      </c>
      <c r="J344" t="s">
        <v>1227</v>
      </c>
      <c r="K344" t="s">
        <v>1244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>
      <c r="A345" t="s">
        <v>456</v>
      </c>
      <c r="B345" s="2">
        <v>35</v>
      </c>
      <c r="C345" s="2" t="s">
        <v>35</v>
      </c>
      <c r="D345" s="2" t="s">
        <v>31</v>
      </c>
      <c r="E345" s="2">
        <v>100</v>
      </c>
      <c r="F345">
        <v>1</v>
      </c>
      <c r="G345" t="b">
        <v>1</v>
      </c>
      <c r="H345">
        <v>0</v>
      </c>
      <c r="I345" t="s">
        <v>1211</v>
      </c>
      <c r="K345" t="s">
        <v>1243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 t="s">
        <v>457</v>
      </c>
      <c r="B346" s="2">
        <v>90</v>
      </c>
      <c r="C346" s="2" t="s">
        <v>43</v>
      </c>
      <c r="D346" s="2" t="s">
        <v>31</v>
      </c>
      <c r="E346" s="2">
        <v>100</v>
      </c>
      <c r="F346">
        <v>1</v>
      </c>
      <c r="G346" t="b">
        <v>0</v>
      </c>
      <c r="H346">
        <v>0</v>
      </c>
      <c r="I346" t="s">
        <v>1211</v>
      </c>
      <c r="K346" t="s">
        <v>1243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>
      <c r="A347" t="s">
        <v>458</v>
      </c>
      <c r="B347" s="2">
        <v>120</v>
      </c>
      <c r="C347" s="2" t="s">
        <v>43</v>
      </c>
      <c r="D347" s="2" t="s">
        <v>42</v>
      </c>
      <c r="E347" s="2">
        <v>100</v>
      </c>
      <c r="F347">
        <v>1</v>
      </c>
      <c r="G347" t="b">
        <v>1</v>
      </c>
      <c r="H347">
        <v>0</v>
      </c>
      <c r="I347" t="s">
        <v>1211</v>
      </c>
      <c r="K347" t="s">
        <v>1243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>
      <c r="A348" t="s">
        <v>459</v>
      </c>
      <c r="B348" s="2">
        <v>90</v>
      </c>
      <c r="C348" s="2" t="s">
        <v>46</v>
      </c>
      <c r="D348" s="2" t="s">
        <v>31</v>
      </c>
      <c r="E348" s="2">
        <v>100</v>
      </c>
      <c r="F348">
        <v>1</v>
      </c>
      <c r="G348" t="b">
        <v>1</v>
      </c>
      <c r="H348">
        <v>0</v>
      </c>
      <c r="I348" t="s">
        <v>1211</v>
      </c>
      <c r="K348" t="s">
        <v>1243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>
      <c r="A349" t="s">
        <v>460</v>
      </c>
      <c r="B349" s="2">
        <v>100</v>
      </c>
      <c r="C349" s="2" t="s">
        <v>22</v>
      </c>
      <c r="D349" s="2" t="s">
        <v>42</v>
      </c>
      <c r="E349" s="2">
        <v>100</v>
      </c>
      <c r="F349">
        <v>1</v>
      </c>
      <c r="G349" t="b">
        <v>0</v>
      </c>
      <c r="H349">
        <v>0</v>
      </c>
      <c r="I349" t="s">
        <v>1216</v>
      </c>
      <c r="J349" t="s">
        <v>1230</v>
      </c>
      <c r="K349" t="s">
        <v>1243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>
      <c r="A350" t="s">
        <v>461</v>
      </c>
      <c r="B350" s="2">
        <v>0</v>
      </c>
      <c r="C350" s="2" t="s">
        <v>41</v>
      </c>
      <c r="D350" s="2" t="s">
        <v>42</v>
      </c>
      <c r="E350" s="2">
        <v>100</v>
      </c>
      <c r="F350">
        <v>1</v>
      </c>
      <c r="G350" t="b">
        <v>0</v>
      </c>
      <c r="H350">
        <v>0</v>
      </c>
      <c r="I350" t="s">
        <v>1211</v>
      </c>
      <c r="K350" t="s">
        <v>1243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>
      <c r="A351" t="s">
        <v>462</v>
      </c>
      <c r="B351" s="2">
        <v>25</v>
      </c>
      <c r="C351" s="2" t="s">
        <v>21</v>
      </c>
      <c r="D351" s="2" t="s">
        <v>31</v>
      </c>
      <c r="E351" s="2">
        <v>95</v>
      </c>
      <c r="F351">
        <v>1</v>
      </c>
      <c r="G351" t="b">
        <v>0</v>
      </c>
      <c r="H351">
        <v>0</v>
      </c>
      <c r="I351" t="s">
        <v>1211</v>
      </c>
      <c r="K351" t="s">
        <v>1243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>
      <c r="A352" t="s">
        <v>463</v>
      </c>
      <c r="B352" s="2">
        <v>100</v>
      </c>
      <c r="C352" s="2" t="s">
        <v>41</v>
      </c>
      <c r="D352" s="2" t="s">
        <v>31</v>
      </c>
      <c r="E352" s="2">
        <v>100</v>
      </c>
      <c r="F352">
        <v>1</v>
      </c>
      <c r="G352" t="b">
        <v>1</v>
      </c>
      <c r="H352">
        <v>0</v>
      </c>
      <c r="I352" t="s">
        <v>1211</v>
      </c>
      <c r="K352" t="s">
        <v>1243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 t="s">
        <v>464</v>
      </c>
      <c r="B353" s="2">
        <v>90</v>
      </c>
      <c r="C353" s="2" t="s">
        <v>44</v>
      </c>
      <c r="D353" s="2" t="s">
        <v>31</v>
      </c>
      <c r="E353" s="2">
        <v>90</v>
      </c>
      <c r="F353">
        <v>1</v>
      </c>
      <c r="G353" t="b">
        <v>1</v>
      </c>
      <c r="H353">
        <v>0</v>
      </c>
      <c r="I353" t="s">
        <v>1211</v>
      </c>
      <c r="K353" t="s">
        <v>1243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>
      <c r="A354" t="s">
        <v>465</v>
      </c>
      <c r="B354" s="2">
        <v>60</v>
      </c>
      <c r="C354" s="2" t="s">
        <v>35</v>
      </c>
      <c r="D354" s="2" t="s">
        <v>31</v>
      </c>
      <c r="E354" s="2">
        <v>100</v>
      </c>
      <c r="F354">
        <v>1</v>
      </c>
      <c r="G354" t="b">
        <v>1</v>
      </c>
      <c r="H354">
        <v>0</v>
      </c>
      <c r="I354" t="s">
        <v>1211</v>
      </c>
      <c r="K354" t="s">
        <v>1243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 t="s">
        <v>466</v>
      </c>
      <c r="B355" s="2">
        <v>50</v>
      </c>
      <c r="C355" s="2" t="s">
        <v>53</v>
      </c>
      <c r="D355" s="2" t="s">
        <v>31</v>
      </c>
      <c r="E355" s="2">
        <v>100</v>
      </c>
      <c r="F355">
        <v>1</v>
      </c>
      <c r="G355" t="b">
        <v>1</v>
      </c>
      <c r="H355">
        <v>0</v>
      </c>
      <c r="I355" t="s">
        <v>1211</v>
      </c>
      <c r="K355" t="s">
        <v>1243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467</v>
      </c>
      <c r="B356" s="2">
        <v>80</v>
      </c>
      <c r="C356" s="2" t="s">
        <v>53</v>
      </c>
      <c r="D356" s="2" t="s">
        <v>31</v>
      </c>
      <c r="E356" s="2">
        <v>100</v>
      </c>
      <c r="F356">
        <v>1</v>
      </c>
      <c r="G356" t="b">
        <v>1</v>
      </c>
      <c r="H356">
        <v>0</v>
      </c>
      <c r="I356" t="s">
        <v>1211</v>
      </c>
      <c r="K356" t="s">
        <v>1243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 t="s">
        <v>468</v>
      </c>
      <c r="B357" s="2">
        <v>15</v>
      </c>
      <c r="C357" s="2" t="s">
        <v>53</v>
      </c>
      <c r="D357" s="2" t="s">
        <v>31</v>
      </c>
      <c r="E357" s="2">
        <v>100</v>
      </c>
      <c r="F357">
        <v>1</v>
      </c>
      <c r="G357" t="b">
        <v>0</v>
      </c>
      <c r="H357">
        <v>0</v>
      </c>
      <c r="I357" t="s">
        <v>1211</v>
      </c>
      <c r="K357" t="s">
        <v>1243</v>
      </c>
      <c r="L357" t="s">
        <v>53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 t="s">
        <v>469</v>
      </c>
      <c r="B358" s="2">
        <v>50</v>
      </c>
      <c r="C358" s="2" t="s">
        <v>53</v>
      </c>
      <c r="D358" s="2" t="s">
        <v>31</v>
      </c>
      <c r="E358" s="2">
        <v>100</v>
      </c>
      <c r="F358">
        <v>1</v>
      </c>
      <c r="G358" t="b">
        <v>1</v>
      </c>
      <c r="H358">
        <v>0</v>
      </c>
      <c r="I358" t="s">
        <v>1211</v>
      </c>
      <c r="K358" t="s">
        <v>1243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>
      <c r="A359" t="s">
        <v>470</v>
      </c>
      <c r="B359" s="2">
        <v>90</v>
      </c>
      <c r="C359" s="2" t="s">
        <v>21</v>
      </c>
      <c r="D359" s="2" t="s">
        <v>42</v>
      </c>
      <c r="E359" s="2">
        <v>100</v>
      </c>
      <c r="F359">
        <v>1</v>
      </c>
      <c r="G359" t="b">
        <v>0</v>
      </c>
      <c r="H359">
        <v>0</v>
      </c>
      <c r="I359" t="s">
        <v>1211</v>
      </c>
      <c r="K359" t="s">
        <v>1243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>
      <c r="A360" t="s">
        <v>471</v>
      </c>
      <c r="B360" s="2">
        <v>110</v>
      </c>
      <c r="C360" s="2" t="s">
        <v>46</v>
      </c>
      <c r="D360" s="2" t="s">
        <v>31</v>
      </c>
      <c r="E360" s="2">
        <v>90</v>
      </c>
      <c r="F360">
        <v>1</v>
      </c>
      <c r="G360" t="b">
        <v>0</v>
      </c>
      <c r="H360">
        <v>0</v>
      </c>
      <c r="I360" t="s">
        <v>1212</v>
      </c>
      <c r="J360" t="s">
        <v>1227</v>
      </c>
      <c r="K360" t="s">
        <v>1243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 t="s">
        <v>472</v>
      </c>
      <c r="B361" s="2">
        <v>40</v>
      </c>
      <c r="C361" s="2" t="s">
        <v>32</v>
      </c>
      <c r="D361" s="2" t="s">
        <v>31</v>
      </c>
      <c r="E361" s="2">
        <v>100</v>
      </c>
      <c r="F361">
        <v>1</v>
      </c>
      <c r="G361" t="b">
        <v>1</v>
      </c>
      <c r="H361">
        <v>0</v>
      </c>
      <c r="I361" t="s">
        <v>1211</v>
      </c>
      <c r="K361" t="s">
        <v>1243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 t="s">
        <v>473</v>
      </c>
      <c r="B362" s="2">
        <v>40</v>
      </c>
      <c r="C362" s="2" t="s">
        <v>40</v>
      </c>
      <c r="D362" s="2" t="s">
        <v>42</v>
      </c>
      <c r="E362" s="2">
        <v>100</v>
      </c>
      <c r="F362">
        <v>1</v>
      </c>
      <c r="G362" t="b">
        <v>0</v>
      </c>
      <c r="H362">
        <v>0</v>
      </c>
      <c r="I362" t="s">
        <v>1211</v>
      </c>
      <c r="K362" t="s">
        <v>1243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>
      <c r="A363" t="s">
        <v>474</v>
      </c>
      <c r="B363" s="2">
        <v>80</v>
      </c>
      <c r="C363" s="2" t="s">
        <v>25</v>
      </c>
      <c r="D363" s="2" t="s">
        <v>42</v>
      </c>
      <c r="E363" s="2">
        <v>100</v>
      </c>
      <c r="F363">
        <v>1</v>
      </c>
      <c r="G363" t="b">
        <v>0</v>
      </c>
      <c r="H363">
        <v>0</v>
      </c>
      <c r="I363" t="s">
        <v>1211</v>
      </c>
      <c r="K363" t="s">
        <v>1243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>
      <c r="A364" t="s">
        <v>475</v>
      </c>
      <c r="B364" s="2">
        <v>20</v>
      </c>
      <c r="C364" s="2" t="s">
        <v>38</v>
      </c>
      <c r="D364" s="2" t="s">
        <v>31</v>
      </c>
      <c r="E364" s="2">
        <v>100</v>
      </c>
      <c r="F364">
        <v>1</v>
      </c>
      <c r="G364" t="b">
        <v>1</v>
      </c>
      <c r="H364">
        <v>0</v>
      </c>
      <c r="I364" t="s">
        <v>1212</v>
      </c>
      <c r="J364" t="s">
        <v>1227</v>
      </c>
      <c r="K364" t="s">
        <v>1243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>
      <c r="A365" t="s">
        <v>476</v>
      </c>
      <c r="B365" s="2">
        <v>120</v>
      </c>
      <c r="C365" s="2" t="s">
        <v>43</v>
      </c>
      <c r="D365" s="2" t="s">
        <v>31</v>
      </c>
      <c r="E365" s="2">
        <v>85</v>
      </c>
      <c r="F365">
        <v>1</v>
      </c>
      <c r="G365" t="b">
        <v>1</v>
      </c>
      <c r="H365">
        <v>0</v>
      </c>
      <c r="I365" t="s">
        <v>1211</v>
      </c>
      <c r="K365" t="s">
        <v>1243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>
      <c r="A366" t="s">
        <v>477</v>
      </c>
      <c r="B366" s="2">
        <v>40</v>
      </c>
      <c r="C366" s="2" t="s">
        <v>20</v>
      </c>
      <c r="D366" s="2" t="s">
        <v>31</v>
      </c>
      <c r="E366" s="2">
        <v>100</v>
      </c>
      <c r="F366">
        <v>1</v>
      </c>
      <c r="G366" t="b">
        <v>1</v>
      </c>
      <c r="H366">
        <v>0</v>
      </c>
      <c r="I366" t="s">
        <v>1211</v>
      </c>
      <c r="K366" t="s">
        <v>1243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>
      <c r="A367" t="s">
        <v>478</v>
      </c>
      <c r="B367" s="2">
        <v>120</v>
      </c>
      <c r="C367" s="2" t="s">
        <v>23</v>
      </c>
      <c r="D367" s="2" t="s">
        <v>31</v>
      </c>
      <c r="E367" s="2">
        <v>85</v>
      </c>
      <c r="F367">
        <v>1</v>
      </c>
      <c r="G367" t="b">
        <v>0</v>
      </c>
      <c r="H367">
        <v>0</v>
      </c>
      <c r="I367" t="s">
        <v>1211</v>
      </c>
      <c r="K367" t="s">
        <v>1243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>
      <c r="A368" t="s">
        <v>479</v>
      </c>
      <c r="B368" s="2">
        <v>0</v>
      </c>
      <c r="C368" s="2" t="s">
        <v>32</v>
      </c>
      <c r="D368" s="2" t="s">
        <v>31</v>
      </c>
      <c r="E368" s="2">
        <v>90</v>
      </c>
      <c r="F368">
        <v>1</v>
      </c>
      <c r="G368" t="b">
        <v>0</v>
      </c>
      <c r="H368">
        <v>0</v>
      </c>
      <c r="I368" t="s">
        <v>1212</v>
      </c>
      <c r="J368" t="s">
        <v>1227</v>
      </c>
      <c r="K368" t="s">
        <v>1243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>
      <c r="A369" t="s">
        <v>480</v>
      </c>
      <c r="B369" s="2">
        <v>160</v>
      </c>
      <c r="C369" s="2" t="s">
        <v>22</v>
      </c>
      <c r="D369" s="2" t="s">
        <v>42</v>
      </c>
      <c r="E369" s="2">
        <v>100</v>
      </c>
      <c r="F369">
        <v>1</v>
      </c>
      <c r="G369" t="b">
        <v>0</v>
      </c>
      <c r="H369">
        <v>0</v>
      </c>
      <c r="I369" t="s">
        <v>1211</v>
      </c>
      <c r="K369" t="s">
        <v>1243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>
      <c r="A370" t="s">
        <v>481</v>
      </c>
      <c r="B370" s="2">
        <v>65</v>
      </c>
      <c r="C370" s="2" t="s">
        <v>22</v>
      </c>
      <c r="D370" s="2" t="s">
        <v>42</v>
      </c>
      <c r="E370" s="2">
        <v>100</v>
      </c>
      <c r="F370">
        <v>1</v>
      </c>
      <c r="G370" t="b">
        <v>0</v>
      </c>
      <c r="H370">
        <v>0</v>
      </c>
      <c r="I370" t="s">
        <v>1211</v>
      </c>
      <c r="K370" t="s">
        <v>1243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>
      <c r="A371" t="s">
        <v>22</v>
      </c>
      <c r="B371" s="2">
        <v>90</v>
      </c>
      <c r="C371" s="2" t="s">
        <v>22</v>
      </c>
      <c r="D371" s="2" t="s">
        <v>42</v>
      </c>
      <c r="E371" s="2">
        <v>100</v>
      </c>
      <c r="F371">
        <v>1</v>
      </c>
      <c r="G371" t="b">
        <v>0</v>
      </c>
      <c r="H371">
        <v>0</v>
      </c>
      <c r="I371" t="s">
        <v>1211</v>
      </c>
      <c r="K371" t="s">
        <v>1243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>
      <c r="A372" t="s">
        <v>482</v>
      </c>
      <c r="B372" s="2">
        <v>85</v>
      </c>
      <c r="C372" s="2" t="s">
        <v>22</v>
      </c>
      <c r="D372" s="2" t="s">
        <v>31</v>
      </c>
      <c r="E372" s="2">
        <v>100</v>
      </c>
      <c r="F372">
        <v>1</v>
      </c>
      <c r="G372" t="b">
        <v>1</v>
      </c>
      <c r="H372">
        <v>0</v>
      </c>
      <c r="I372" t="s">
        <v>1211</v>
      </c>
      <c r="K372" t="s">
        <v>1243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 t="s">
        <v>483</v>
      </c>
      <c r="B373" s="2">
        <v>140</v>
      </c>
      <c r="C373" s="2" t="s">
        <v>22</v>
      </c>
      <c r="D373" s="2" t="s">
        <v>42</v>
      </c>
      <c r="E373" s="2">
        <v>90</v>
      </c>
      <c r="F373">
        <v>1</v>
      </c>
      <c r="G373" t="b">
        <v>0</v>
      </c>
      <c r="H373">
        <v>0</v>
      </c>
      <c r="I373" t="s">
        <v>1211</v>
      </c>
      <c r="K373" t="s">
        <v>1243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>
      <c r="A374" t="s">
        <v>484</v>
      </c>
      <c r="B374" s="2">
        <v>70</v>
      </c>
      <c r="C374" s="2" t="s">
        <v>22</v>
      </c>
      <c r="D374" s="2" t="s">
        <v>31</v>
      </c>
      <c r="E374" s="2">
        <v>100</v>
      </c>
      <c r="F374">
        <v>1</v>
      </c>
      <c r="G374" t="b">
        <v>0</v>
      </c>
      <c r="H374">
        <v>0</v>
      </c>
      <c r="I374" t="s">
        <v>1211</v>
      </c>
      <c r="K374" t="s">
        <v>1243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>
      <c r="A375" t="s">
        <v>485</v>
      </c>
      <c r="B375" s="2">
        <v>70</v>
      </c>
      <c r="C375" s="2" t="s">
        <v>22</v>
      </c>
      <c r="D375" s="2" t="s">
        <v>31</v>
      </c>
      <c r="E375" s="2">
        <v>90</v>
      </c>
      <c r="F375">
        <v>1</v>
      </c>
      <c r="G375" t="b">
        <v>1</v>
      </c>
      <c r="H375">
        <v>0</v>
      </c>
      <c r="I375" t="s">
        <v>1211</v>
      </c>
      <c r="K375" t="s">
        <v>1243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>
      <c r="A376" t="s">
        <v>486</v>
      </c>
      <c r="B376" s="2">
        <v>80</v>
      </c>
      <c r="C376" s="2" t="s">
        <v>22</v>
      </c>
      <c r="D376" s="2" t="s">
        <v>42</v>
      </c>
      <c r="E376" s="2">
        <v>100</v>
      </c>
      <c r="F376">
        <v>1</v>
      </c>
      <c r="G376" t="b">
        <v>0</v>
      </c>
      <c r="H376">
        <v>0</v>
      </c>
      <c r="I376" t="s">
        <v>1218</v>
      </c>
      <c r="K376" t="s">
        <v>1243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>
      <c r="A377" t="s">
        <v>487</v>
      </c>
      <c r="B377" s="2">
        <v>100</v>
      </c>
      <c r="C377" s="2" t="s">
        <v>22</v>
      </c>
      <c r="D377" s="2" t="s">
        <v>42</v>
      </c>
      <c r="E377" s="2">
        <v>100</v>
      </c>
      <c r="F377">
        <v>1</v>
      </c>
      <c r="G377" t="b">
        <v>0</v>
      </c>
      <c r="H377">
        <v>0</v>
      </c>
      <c r="I377" t="s">
        <v>1218</v>
      </c>
      <c r="K377" t="s">
        <v>1243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>
      <c r="A378" t="s">
        <v>488</v>
      </c>
      <c r="B378" s="2">
        <v>0</v>
      </c>
      <c r="C378" s="2" t="s">
        <v>22</v>
      </c>
      <c r="D378" s="2" t="s">
        <v>42</v>
      </c>
      <c r="E378" s="2">
        <v>100</v>
      </c>
      <c r="F378">
        <v>1</v>
      </c>
      <c r="G378" t="b">
        <v>0</v>
      </c>
      <c r="H378">
        <v>0</v>
      </c>
      <c r="I378" t="s">
        <v>1213</v>
      </c>
      <c r="J378" t="s">
        <v>1228</v>
      </c>
      <c r="K378" t="s">
        <v>1243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>
      <c r="A379" t="s">
        <v>489</v>
      </c>
      <c r="B379" s="2">
        <v>210</v>
      </c>
      <c r="C379" s="2" t="s">
        <v>32</v>
      </c>
      <c r="D379" s="2" t="s">
        <v>31</v>
      </c>
      <c r="E379" s="2">
        <v>100</v>
      </c>
      <c r="F379">
        <v>1</v>
      </c>
      <c r="G379" t="b">
        <v>0</v>
      </c>
      <c r="H379">
        <v>0</v>
      </c>
      <c r="I379" t="s">
        <v>1211</v>
      </c>
      <c r="K379" t="s">
        <v>1243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>
      <c r="A380" t="s">
        <v>490</v>
      </c>
      <c r="B380" s="2">
        <v>0</v>
      </c>
      <c r="C380" s="2" t="s">
        <v>38</v>
      </c>
      <c r="D380" s="2" t="s">
        <v>31</v>
      </c>
      <c r="E380" s="2">
        <v>100</v>
      </c>
      <c r="F380">
        <v>1</v>
      </c>
      <c r="G380" t="b">
        <v>1</v>
      </c>
      <c r="H380">
        <v>0</v>
      </c>
      <c r="I380" t="s">
        <v>1212</v>
      </c>
      <c r="J380" t="s">
        <v>1227</v>
      </c>
      <c r="K380" t="s">
        <v>1243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>
      <c r="A381" t="s">
        <v>491</v>
      </c>
      <c r="B381" s="2">
        <v>40</v>
      </c>
      <c r="C381" s="2" t="s">
        <v>38</v>
      </c>
      <c r="D381" s="2" t="s">
        <v>31</v>
      </c>
      <c r="E381" s="2">
        <v>100</v>
      </c>
      <c r="F381">
        <v>1</v>
      </c>
      <c r="G381" t="b">
        <v>1</v>
      </c>
      <c r="H381">
        <v>0</v>
      </c>
      <c r="I381" t="s">
        <v>1212</v>
      </c>
      <c r="J381" t="s">
        <v>1227</v>
      </c>
      <c r="K381" t="s">
        <v>1243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492</v>
      </c>
      <c r="B382" s="2">
        <v>120</v>
      </c>
      <c r="C382" s="2" t="s">
        <v>19</v>
      </c>
      <c r="D382" s="2" t="s">
        <v>31</v>
      </c>
      <c r="E382" s="2">
        <v>90</v>
      </c>
      <c r="F382">
        <v>1</v>
      </c>
      <c r="G382" t="b">
        <v>0</v>
      </c>
      <c r="H382">
        <v>0</v>
      </c>
      <c r="I382" t="s">
        <v>1211</v>
      </c>
      <c r="K382" t="s">
        <v>1243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 t="s">
        <v>493</v>
      </c>
      <c r="B383" s="2">
        <v>40</v>
      </c>
      <c r="C383" s="2" t="s">
        <v>32</v>
      </c>
      <c r="D383" s="2" t="s">
        <v>31</v>
      </c>
      <c r="E383" s="2">
        <v>100</v>
      </c>
      <c r="F383">
        <v>1</v>
      </c>
      <c r="G383" t="b">
        <v>1</v>
      </c>
      <c r="H383">
        <v>1</v>
      </c>
      <c r="I383" t="s">
        <v>1211</v>
      </c>
      <c r="K383" t="s">
        <v>1243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>
      <c r="A384" t="s">
        <v>494</v>
      </c>
      <c r="B384" s="2">
        <v>20</v>
      </c>
      <c r="C384" s="2" t="s">
        <v>32</v>
      </c>
      <c r="D384" s="2" t="s">
        <v>31</v>
      </c>
      <c r="E384" s="2">
        <v>100</v>
      </c>
      <c r="F384">
        <v>1</v>
      </c>
      <c r="G384" t="b">
        <v>1</v>
      </c>
      <c r="H384">
        <v>0</v>
      </c>
      <c r="I384" t="s">
        <v>1211</v>
      </c>
      <c r="K384" t="s">
        <v>1243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>
      <c r="A385" t="s">
        <v>495</v>
      </c>
      <c r="B385" s="2">
        <v>120</v>
      </c>
      <c r="C385" s="2" t="s">
        <v>19</v>
      </c>
      <c r="D385" s="2" t="s">
        <v>31</v>
      </c>
      <c r="E385" s="2">
        <v>100</v>
      </c>
      <c r="F385">
        <v>1</v>
      </c>
      <c r="G385" t="b">
        <v>1</v>
      </c>
      <c r="H385">
        <v>0</v>
      </c>
      <c r="I385" t="s">
        <v>1211</v>
      </c>
      <c r="K385" t="s">
        <v>1243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>
      <c r="A386" t="s">
        <v>61</v>
      </c>
      <c r="B386" s="2">
        <v>50</v>
      </c>
      <c r="C386" s="2" t="s">
        <v>32</v>
      </c>
      <c r="D386" s="2" t="s">
        <v>31</v>
      </c>
      <c r="E386" s="2">
        <v>100</v>
      </c>
      <c r="F386">
        <v>1</v>
      </c>
      <c r="G386" t="b">
        <v>1</v>
      </c>
      <c r="H386">
        <v>0</v>
      </c>
      <c r="I386" t="s">
        <v>1211</v>
      </c>
      <c r="K386" t="s">
        <v>1243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>
      <c r="A387" t="s">
        <v>496</v>
      </c>
      <c r="B387" s="2">
        <v>55</v>
      </c>
      <c r="C387" s="2" t="s">
        <v>43</v>
      </c>
      <c r="D387" s="2" t="s">
        <v>31</v>
      </c>
      <c r="E387" s="2">
        <v>95</v>
      </c>
      <c r="F387">
        <v>1</v>
      </c>
      <c r="G387" t="b">
        <v>0</v>
      </c>
      <c r="H387">
        <v>0</v>
      </c>
      <c r="I387" t="s">
        <v>1211</v>
      </c>
      <c r="K387" t="s">
        <v>1243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>
      <c r="A388" t="s">
        <v>497</v>
      </c>
      <c r="B388" s="2">
        <v>75</v>
      </c>
      <c r="C388" s="2" t="s">
        <v>34</v>
      </c>
      <c r="D388" s="2" t="s">
        <v>31</v>
      </c>
      <c r="E388" s="2">
        <v>95</v>
      </c>
      <c r="F388">
        <v>1</v>
      </c>
      <c r="G388" t="b">
        <v>1</v>
      </c>
      <c r="H388">
        <v>0</v>
      </c>
      <c r="I388" t="s">
        <v>1211</v>
      </c>
      <c r="K388" t="s">
        <v>1243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 t="s">
        <v>498</v>
      </c>
      <c r="B389" s="2">
        <v>80</v>
      </c>
      <c r="C389" s="2" t="s">
        <v>32</v>
      </c>
      <c r="D389" s="2" t="s">
        <v>42</v>
      </c>
      <c r="E389" s="2">
        <v>100</v>
      </c>
      <c r="F389">
        <v>1</v>
      </c>
      <c r="G389" t="b">
        <v>0</v>
      </c>
      <c r="H389">
        <v>0</v>
      </c>
      <c r="I389" t="s">
        <v>1211</v>
      </c>
      <c r="K389" t="s">
        <v>1243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 t="s">
        <v>499</v>
      </c>
      <c r="B390" s="2">
        <v>75</v>
      </c>
      <c r="C390" s="2" t="s">
        <v>32</v>
      </c>
      <c r="D390" s="2" t="s">
        <v>42</v>
      </c>
      <c r="E390" s="2">
        <v>100</v>
      </c>
      <c r="F390">
        <v>1</v>
      </c>
      <c r="G390" t="b">
        <v>0</v>
      </c>
      <c r="H390">
        <v>0</v>
      </c>
      <c r="I390" t="s">
        <v>1211</v>
      </c>
      <c r="K390" t="s">
        <v>1243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>
      <c r="A391" t="s">
        <v>500</v>
      </c>
      <c r="B391" s="2">
        <v>70</v>
      </c>
      <c r="C391" s="2" t="s">
        <v>32</v>
      </c>
      <c r="D391" s="2" t="s">
        <v>31</v>
      </c>
      <c r="E391" s="2">
        <v>100</v>
      </c>
      <c r="F391">
        <v>1</v>
      </c>
      <c r="G391" t="b">
        <v>1</v>
      </c>
      <c r="H391">
        <v>0</v>
      </c>
      <c r="I391" t="s">
        <v>1211</v>
      </c>
      <c r="K391" t="s">
        <v>1243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>
      <c r="A392" t="s">
        <v>501</v>
      </c>
      <c r="B392" s="2">
        <v>0</v>
      </c>
      <c r="C392" s="2" t="s">
        <v>32</v>
      </c>
      <c r="D392" s="2" t="s">
        <v>31</v>
      </c>
      <c r="E392" s="2">
        <v>100</v>
      </c>
      <c r="F392">
        <v>1</v>
      </c>
      <c r="G392" t="b">
        <v>1</v>
      </c>
      <c r="H392">
        <v>0</v>
      </c>
      <c r="I392" t="s">
        <v>1212</v>
      </c>
      <c r="J392" t="s">
        <v>1227</v>
      </c>
      <c r="K392" t="s">
        <v>1243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>
      <c r="A393" t="s">
        <v>502</v>
      </c>
      <c r="B393" s="2">
        <v>90</v>
      </c>
      <c r="C393" s="2" t="s">
        <v>32</v>
      </c>
      <c r="D393" s="2" t="s">
        <v>42</v>
      </c>
      <c r="E393" s="2">
        <v>100</v>
      </c>
      <c r="F393">
        <v>1</v>
      </c>
      <c r="G393" t="b">
        <v>0</v>
      </c>
      <c r="H393">
        <v>0</v>
      </c>
      <c r="I393" t="s">
        <v>1216</v>
      </c>
      <c r="J393" t="s">
        <v>1230</v>
      </c>
      <c r="K393" t="s">
        <v>1243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>
      <c r="A394" t="s">
        <v>503</v>
      </c>
      <c r="B394" s="2">
        <v>60</v>
      </c>
      <c r="C394" s="2" t="s">
        <v>20</v>
      </c>
      <c r="D394" s="2" t="s">
        <v>31</v>
      </c>
      <c r="E394" s="2">
        <v>100</v>
      </c>
      <c r="F394">
        <v>1</v>
      </c>
      <c r="G394" t="b">
        <v>1</v>
      </c>
      <c r="H394">
        <v>-5</v>
      </c>
      <c r="I394" t="s">
        <v>1211</v>
      </c>
      <c r="K394" t="s">
        <v>1244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>
      <c r="A395" t="s">
        <v>504</v>
      </c>
      <c r="B395" s="2">
        <v>0</v>
      </c>
      <c r="C395" s="2" t="s">
        <v>20</v>
      </c>
      <c r="D395" s="2" t="s">
        <v>31</v>
      </c>
      <c r="E395" s="2">
        <v>100</v>
      </c>
      <c r="F395">
        <v>1</v>
      </c>
      <c r="G395" t="b">
        <v>1</v>
      </c>
      <c r="H395">
        <v>0</v>
      </c>
      <c r="I395" t="s">
        <v>1212</v>
      </c>
      <c r="J395" t="s">
        <v>1227</v>
      </c>
      <c r="K395" t="s">
        <v>1243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>
      <c r="A396" t="s">
        <v>505</v>
      </c>
      <c r="B396" s="2">
        <v>70</v>
      </c>
      <c r="C396" s="2" t="s">
        <v>41</v>
      </c>
      <c r="D396" s="2" t="s">
        <v>42</v>
      </c>
      <c r="E396" s="2">
        <v>100</v>
      </c>
      <c r="F396">
        <v>1</v>
      </c>
      <c r="G396" t="b">
        <v>0</v>
      </c>
      <c r="H396">
        <v>0</v>
      </c>
      <c r="I396" t="s">
        <v>1212</v>
      </c>
      <c r="J396" t="s">
        <v>1227</v>
      </c>
      <c r="K396" t="s">
        <v>1243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 t="s">
        <v>506</v>
      </c>
      <c r="B397" s="2">
        <v>150</v>
      </c>
      <c r="C397" s="2" t="s">
        <v>47</v>
      </c>
      <c r="D397" s="2" t="s">
        <v>42</v>
      </c>
      <c r="E397" s="2">
        <v>90</v>
      </c>
      <c r="F397">
        <v>1</v>
      </c>
      <c r="G397" t="b">
        <v>0</v>
      </c>
      <c r="H397">
        <v>0</v>
      </c>
      <c r="I397" t="s">
        <v>1211</v>
      </c>
      <c r="K397" t="s">
        <v>1243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>
      <c r="A398" t="s">
        <v>507</v>
      </c>
      <c r="B398" s="2">
        <v>25</v>
      </c>
      <c r="C398" s="2" t="s">
        <v>25</v>
      </c>
      <c r="D398" s="2" t="s">
        <v>31</v>
      </c>
      <c r="E398" s="2">
        <v>90</v>
      </c>
      <c r="F398">
        <v>1</v>
      </c>
      <c r="G398" t="b">
        <v>0</v>
      </c>
      <c r="H398">
        <v>0</v>
      </c>
      <c r="I398" t="s">
        <v>1211</v>
      </c>
      <c r="K398" t="s">
        <v>1243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 t="s">
        <v>508</v>
      </c>
      <c r="B399" s="2">
        <v>90</v>
      </c>
      <c r="C399" s="2" t="s">
        <v>32</v>
      </c>
      <c r="D399" s="2" t="s">
        <v>31</v>
      </c>
      <c r="E399" s="2">
        <v>85</v>
      </c>
      <c r="F399">
        <v>1</v>
      </c>
      <c r="G399" t="b">
        <v>1</v>
      </c>
      <c r="H399">
        <v>0</v>
      </c>
      <c r="I399" t="s">
        <v>1211</v>
      </c>
      <c r="K399" t="s">
        <v>1243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>
      <c r="A400" t="s">
        <v>509</v>
      </c>
      <c r="B400" s="2">
        <v>75</v>
      </c>
      <c r="C400" s="2" t="s">
        <v>25</v>
      </c>
      <c r="D400" s="2" t="s">
        <v>31</v>
      </c>
      <c r="E400" s="2">
        <v>90</v>
      </c>
      <c r="F400">
        <v>1</v>
      </c>
      <c r="G400" t="b">
        <v>0</v>
      </c>
      <c r="H400">
        <v>0</v>
      </c>
      <c r="I400" t="s">
        <v>1211</v>
      </c>
      <c r="K400" t="s">
        <v>1243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 t="s">
        <v>510</v>
      </c>
      <c r="B401" s="2">
        <v>40</v>
      </c>
      <c r="C401" s="2" t="s">
        <v>20</v>
      </c>
      <c r="D401" s="2" t="s">
        <v>31</v>
      </c>
      <c r="E401" s="2">
        <v>100</v>
      </c>
      <c r="F401">
        <v>1</v>
      </c>
      <c r="G401" t="b">
        <v>1</v>
      </c>
      <c r="H401">
        <v>0</v>
      </c>
      <c r="I401" t="s">
        <v>1211</v>
      </c>
      <c r="K401" t="s">
        <v>1243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>
      <c r="A402" t="s">
        <v>511</v>
      </c>
      <c r="B402" s="2">
        <v>50</v>
      </c>
      <c r="C402" s="2" t="s">
        <v>25</v>
      </c>
      <c r="D402" s="2" t="s">
        <v>31</v>
      </c>
      <c r="E402" s="2">
        <v>90</v>
      </c>
      <c r="F402">
        <v>1</v>
      </c>
      <c r="G402" t="b">
        <v>0</v>
      </c>
      <c r="H402">
        <v>0</v>
      </c>
      <c r="I402" t="s">
        <v>1211</v>
      </c>
      <c r="K402" t="s">
        <v>1243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>
      <c r="A403" t="s">
        <v>512</v>
      </c>
      <c r="B403" s="2">
        <v>60</v>
      </c>
      <c r="C403" s="2" t="s">
        <v>25</v>
      </c>
      <c r="D403" s="2" t="s">
        <v>31</v>
      </c>
      <c r="E403" s="2">
        <v>95</v>
      </c>
      <c r="F403">
        <v>1</v>
      </c>
      <c r="G403" t="b">
        <v>0</v>
      </c>
      <c r="H403">
        <v>0</v>
      </c>
      <c r="I403" t="s">
        <v>1211</v>
      </c>
      <c r="K403" t="s">
        <v>1243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>
      <c r="A404" t="s">
        <v>513</v>
      </c>
      <c r="B404" s="2">
        <v>150</v>
      </c>
      <c r="C404" s="2" t="s">
        <v>25</v>
      </c>
      <c r="D404" s="2" t="s">
        <v>31</v>
      </c>
      <c r="E404" s="2">
        <v>90</v>
      </c>
      <c r="F404">
        <v>1</v>
      </c>
      <c r="G404" t="b">
        <v>0</v>
      </c>
      <c r="H404">
        <v>0</v>
      </c>
      <c r="I404" t="s">
        <v>1211</v>
      </c>
      <c r="K404" t="s">
        <v>1243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>
      <c r="A405" t="s">
        <v>514</v>
      </c>
      <c r="B405" s="2">
        <v>60</v>
      </c>
      <c r="C405" s="2" t="s">
        <v>20</v>
      </c>
      <c r="D405" s="2" t="s">
        <v>31</v>
      </c>
      <c r="E405" s="2">
        <v>85</v>
      </c>
      <c r="F405">
        <v>1</v>
      </c>
      <c r="G405" t="b">
        <v>1</v>
      </c>
      <c r="H405">
        <v>0</v>
      </c>
      <c r="I405" t="s">
        <v>1211</v>
      </c>
      <c r="K405" t="s">
        <v>1243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>
      <c r="A406" t="s">
        <v>515</v>
      </c>
      <c r="B406" s="2">
        <v>30</v>
      </c>
      <c r="C406" s="2" t="s">
        <v>25</v>
      </c>
      <c r="D406" s="2" t="s">
        <v>31</v>
      </c>
      <c r="E406" s="2">
        <v>90</v>
      </c>
      <c r="F406">
        <v>1</v>
      </c>
      <c r="G406" t="b">
        <v>1</v>
      </c>
      <c r="H406">
        <v>0</v>
      </c>
      <c r="I406" t="s">
        <v>1212</v>
      </c>
      <c r="J406" t="s">
        <v>1227</v>
      </c>
      <c r="K406" t="s">
        <v>1243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 t="s">
        <v>60</v>
      </c>
      <c r="B407" s="2">
        <v>60</v>
      </c>
      <c r="C407" s="2" t="s">
        <v>32</v>
      </c>
      <c r="D407" s="2" t="s">
        <v>42</v>
      </c>
      <c r="E407" s="2">
        <v>100</v>
      </c>
      <c r="F407">
        <v>1</v>
      </c>
      <c r="G407" t="b">
        <v>0</v>
      </c>
      <c r="H407">
        <v>0</v>
      </c>
      <c r="I407" t="s">
        <v>1212</v>
      </c>
      <c r="J407" t="s">
        <v>1227</v>
      </c>
      <c r="K407" t="s">
        <v>1243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>
      <c r="A408" t="s">
        <v>516</v>
      </c>
      <c r="B408" s="2">
        <v>100</v>
      </c>
      <c r="C408" s="2" t="s">
        <v>19</v>
      </c>
      <c r="D408" s="2" t="s">
        <v>31</v>
      </c>
      <c r="E408" s="2">
        <v>95</v>
      </c>
      <c r="F408">
        <v>1</v>
      </c>
      <c r="G408" t="b">
        <v>0</v>
      </c>
      <c r="H408">
        <v>0</v>
      </c>
      <c r="I408" t="s">
        <v>1211</v>
      </c>
      <c r="K408" t="s">
        <v>1243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>
      <c r="A409" t="s">
        <v>517</v>
      </c>
      <c r="B409" s="2">
        <v>90</v>
      </c>
      <c r="C409" s="2" t="s">
        <v>20</v>
      </c>
      <c r="D409" s="2" t="s">
        <v>31</v>
      </c>
      <c r="E409" s="2">
        <v>100</v>
      </c>
      <c r="F409">
        <v>1</v>
      </c>
      <c r="G409" t="b">
        <v>1</v>
      </c>
      <c r="H409">
        <v>0</v>
      </c>
      <c r="I409" t="s">
        <v>1211</v>
      </c>
      <c r="K409" t="s">
        <v>1243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>
      <c r="A410" t="s">
        <v>518</v>
      </c>
      <c r="B410" s="2">
        <v>35</v>
      </c>
      <c r="C410" s="2" t="s">
        <v>23</v>
      </c>
      <c r="D410" s="2" t="s">
        <v>31</v>
      </c>
      <c r="E410" s="2">
        <v>85</v>
      </c>
      <c r="F410">
        <v>1</v>
      </c>
      <c r="G410" t="b">
        <v>0</v>
      </c>
      <c r="H410">
        <v>0</v>
      </c>
      <c r="I410" t="s">
        <v>1211</v>
      </c>
      <c r="K410" t="s">
        <v>1243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>
      <c r="A411" t="s">
        <v>519</v>
      </c>
      <c r="B411" s="2">
        <v>100</v>
      </c>
      <c r="C411" s="2" t="s">
        <v>23</v>
      </c>
      <c r="D411" s="2" t="s">
        <v>42</v>
      </c>
      <c r="E411" s="2">
        <v>80</v>
      </c>
      <c r="F411">
        <v>1</v>
      </c>
      <c r="G411" t="b">
        <v>0</v>
      </c>
      <c r="H411">
        <v>0</v>
      </c>
      <c r="I411" t="s">
        <v>1211</v>
      </c>
      <c r="K411" t="s">
        <v>1243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>
      <c r="A412" t="s">
        <v>520</v>
      </c>
      <c r="B412" s="2">
        <v>100</v>
      </c>
      <c r="C412" s="2" t="s">
        <v>43</v>
      </c>
      <c r="D412" s="2" t="s">
        <v>31</v>
      </c>
      <c r="E412" s="2">
        <v>90</v>
      </c>
      <c r="F412">
        <v>1</v>
      </c>
      <c r="G412" t="b">
        <v>0</v>
      </c>
      <c r="H412">
        <v>0</v>
      </c>
      <c r="I412" t="s">
        <v>1211</v>
      </c>
      <c r="K412" t="s">
        <v>1243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>
      <c r="A413" t="s">
        <v>521</v>
      </c>
      <c r="B413" s="2">
        <v>80</v>
      </c>
      <c r="C413" s="2" t="s">
        <v>34</v>
      </c>
      <c r="D413" s="2" t="s">
        <v>42</v>
      </c>
      <c r="E413" s="2">
        <v>100</v>
      </c>
      <c r="F413">
        <v>1</v>
      </c>
      <c r="G413" t="b">
        <v>0</v>
      </c>
      <c r="H413">
        <v>0</v>
      </c>
      <c r="I413" t="s">
        <v>1211</v>
      </c>
      <c r="K413" t="s">
        <v>1243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>
      <c r="A414" t="s">
        <v>522</v>
      </c>
      <c r="B414" s="2">
        <v>25</v>
      </c>
      <c r="C414" s="2" t="s">
        <v>47</v>
      </c>
      <c r="D414" s="2" t="s">
        <v>31</v>
      </c>
      <c r="E414" s="2">
        <v>90</v>
      </c>
      <c r="F414">
        <v>1</v>
      </c>
      <c r="G414" t="b">
        <v>0</v>
      </c>
      <c r="H414">
        <v>0</v>
      </c>
      <c r="I414" t="s">
        <v>1211</v>
      </c>
      <c r="K414" t="s">
        <v>1243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>
      <c r="A415" t="s">
        <v>523</v>
      </c>
      <c r="B415" s="2">
        <v>70</v>
      </c>
      <c r="C415" s="2" t="s">
        <v>23</v>
      </c>
      <c r="D415" s="2" t="s">
        <v>42</v>
      </c>
      <c r="E415" s="2">
        <v>100</v>
      </c>
      <c r="F415">
        <v>1</v>
      </c>
      <c r="G415" t="b">
        <v>0</v>
      </c>
      <c r="H415">
        <v>0</v>
      </c>
      <c r="I415" t="s">
        <v>1211</v>
      </c>
      <c r="K415" t="s">
        <v>1243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>
      <c r="A416" t="s">
        <v>524</v>
      </c>
      <c r="B416" s="2">
        <v>40</v>
      </c>
      <c r="C416" s="2" t="s">
        <v>32</v>
      </c>
      <c r="D416" s="2" t="s">
        <v>31</v>
      </c>
      <c r="E416" s="2">
        <v>100</v>
      </c>
      <c r="F416">
        <v>1</v>
      </c>
      <c r="G416" t="b">
        <v>1</v>
      </c>
      <c r="H416">
        <v>0</v>
      </c>
      <c r="I416" t="s">
        <v>1211</v>
      </c>
      <c r="K416" t="s">
        <v>1243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>
      <c r="A417" t="s">
        <v>525</v>
      </c>
      <c r="B417" s="2">
        <v>100</v>
      </c>
      <c r="C417" s="2" t="s">
        <v>19</v>
      </c>
      <c r="D417" s="2" t="s">
        <v>42</v>
      </c>
      <c r="E417" s="2">
        <v>100</v>
      </c>
      <c r="F417">
        <v>1</v>
      </c>
      <c r="G417" t="b">
        <v>0</v>
      </c>
      <c r="H417">
        <v>0</v>
      </c>
      <c r="I417" t="s">
        <v>1211</v>
      </c>
      <c r="K417" t="s">
        <v>1243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 t="s">
        <v>526</v>
      </c>
      <c r="B418" s="2">
        <v>200</v>
      </c>
      <c r="C418" s="2" t="s">
        <v>24</v>
      </c>
      <c r="D418" s="2" t="s">
        <v>31</v>
      </c>
      <c r="E418" s="2">
        <v>100</v>
      </c>
      <c r="F418">
        <v>1</v>
      </c>
      <c r="G418" t="b">
        <v>0</v>
      </c>
      <c r="H418">
        <v>0</v>
      </c>
      <c r="I418" t="s">
        <v>1211</v>
      </c>
      <c r="K418" t="s">
        <v>1243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>
      <c r="A419" t="s">
        <v>527</v>
      </c>
      <c r="B419" s="2">
        <v>70</v>
      </c>
      <c r="C419" s="2" t="s">
        <v>32</v>
      </c>
      <c r="D419" s="2" t="s">
        <v>31</v>
      </c>
      <c r="E419" s="2">
        <v>100</v>
      </c>
      <c r="F419">
        <v>1</v>
      </c>
      <c r="G419" t="b">
        <v>0</v>
      </c>
      <c r="H419">
        <v>0</v>
      </c>
      <c r="I419" t="s">
        <v>1211</v>
      </c>
      <c r="K419" t="s">
        <v>1243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>
      <c r="A420" t="s">
        <v>528</v>
      </c>
      <c r="B420" s="2">
        <v>85</v>
      </c>
      <c r="C420" s="2" t="s">
        <v>20</v>
      </c>
      <c r="D420" s="2" t="s">
        <v>42</v>
      </c>
      <c r="E420" s="2">
        <v>100</v>
      </c>
      <c r="F420">
        <v>1</v>
      </c>
      <c r="G420" t="b">
        <v>0</v>
      </c>
      <c r="H420">
        <v>0</v>
      </c>
      <c r="I420" t="s">
        <v>1218</v>
      </c>
      <c r="K420" t="s">
        <v>1243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>
      <c r="A421" t="s">
        <v>529</v>
      </c>
      <c r="B421" s="2">
        <v>80</v>
      </c>
      <c r="C421" s="2" t="s">
        <v>43</v>
      </c>
      <c r="D421" s="2" t="s">
        <v>31</v>
      </c>
      <c r="E421" s="2">
        <v>100</v>
      </c>
      <c r="F421">
        <v>1</v>
      </c>
      <c r="G421" t="b">
        <v>0</v>
      </c>
      <c r="H421">
        <v>0</v>
      </c>
      <c r="I421" t="s">
        <v>1211</v>
      </c>
      <c r="K421" t="s">
        <v>1243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>
      <c r="A422" t="s">
        <v>530</v>
      </c>
      <c r="B422" s="2">
        <v>120</v>
      </c>
      <c r="C422" s="2" t="s">
        <v>43</v>
      </c>
      <c r="D422" s="2" t="s">
        <v>42</v>
      </c>
      <c r="E422" s="2">
        <v>85</v>
      </c>
      <c r="F422">
        <v>1</v>
      </c>
      <c r="G422" t="b">
        <v>0</v>
      </c>
      <c r="H422">
        <v>0</v>
      </c>
      <c r="I422" t="s">
        <v>1211</v>
      </c>
      <c r="K422" t="s">
        <v>1243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>
      <c r="A423" t="s">
        <v>531</v>
      </c>
      <c r="B423" s="2">
        <v>0</v>
      </c>
      <c r="C423" s="2" t="s">
        <v>20</v>
      </c>
      <c r="D423" s="2" t="s">
        <v>31</v>
      </c>
      <c r="E423" s="2">
        <v>100</v>
      </c>
      <c r="F423">
        <v>1</v>
      </c>
      <c r="G423" t="b">
        <v>1</v>
      </c>
      <c r="H423">
        <v>0</v>
      </c>
      <c r="I423" t="s">
        <v>1213</v>
      </c>
      <c r="J423" t="s">
        <v>1228</v>
      </c>
      <c r="K423" t="s">
        <v>1243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>
      <c r="A424" t="s">
        <v>532</v>
      </c>
      <c r="B424" s="2">
        <v>200</v>
      </c>
      <c r="C424" s="2" t="s">
        <v>32</v>
      </c>
      <c r="D424" s="2" t="s">
        <v>31</v>
      </c>
      <c r="E424" s="2">
        <v>100</v>
      </c>
      <c r="F424">
        <v>1</v>
      </c>
      <c r="G424" t="b">
        <v>0</v>
      </c>
      <c r="H424">
        <v>0</v>
      </c>
      <c r="I424" t="s">
        <v>1211</v>
      </c>
      <c r="K424" t="s">
        <v>1243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>
      <c r="A425" t="s">
        <v>533</v>
      </c>
      <c r="B425" s="2">
        <v>80</v>
      </c>
      <c r="C425" s="2" t="s">
        <v>46</v>
      </c>
      <c r="D425" s="2" t="s">
        <v>42</v>
      </c>
      <c r="E425" s="2">
        <v>100</v>
      </c>
      <c r="F425">
        <v>1</v>
      </c>
      <c r="G425" t="b">
        <v>0</v>
      </c>
      <c r="H425">
        <v>0</v>
      </c>
      <c r="I425" t="s">
        <v>1211</v>
      </c>
      <c r="K425" t="s">
        <v>1243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>
      <c r="A426" t="s">
        <v>534</v>
      </c>
      <c r="B426" s="2">
        <v>85</v>
      </c>
      <c r="C426" s="2" t="s">
        <v>46</v>
      </c>
      <c r="D426" s="2" t="s">
        <v>31</v>
      </c>
      <c r="E426" s="2">
        <v>100</v>
      </c>
      <c r="F426">
        <v>1</v>
      </c>
      <c r="G426" t="b">
        <v>0</v>
      </c>
      <c r="H426">
        <v>0</v>
      </c>
      <c r="I426" t="s">
        <v>1211</v>
      </c>
      <c r="K426" t="s">
        <v>1243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>
      <c r="A427" t="s">
        <v>103</v>
      </c>
      <c r="B427" s="2">
        <v>70</v>
      </c>
      <c r="C427" s="2" t="s">
        <v>46</v>
      </c>
      <c r="D427" s="2" t="s">
        <v>31</v>
      </c>
      <c r="E427" s="2">
        <v>100</v>
      </c>
      <c r="F427">
        <v>1</v>
      </c>
      <c r="G427" t="b">
        <v>1</v>
      </c>
      <c r="H427">
        <v>0</v>
      </c>
      <c r="I427" t="s">
        <v>1211</v>
      </c>
      <c r="K427" t="s">
        <v>1243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>
      <c r="A428" t="s">
        <v>535</v>
      </c>
      <c r="B428" s="2">
        <v>120</v>
      </c>
      <c r="C428" s="2" t="s">
        <v>46</v>
      </c>
      <c r="D428" s="2" t="s">
        <v>31</v>
      </c>
      <c r="E428" s="2">
        <v>100</v>
      </c>
      <c r="F428">
        <v>1</v>
      </c>
      <c r="G428" t="b">
        <v>1</v>
      </c>
      <c r="H428">
        <v>0</v>
      </c>
      <c r="I428" t="s">
        <v>1211</v>
      </c>
      <c r="K428" t="s">
        <v>1243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>
      <c r="A429" t="s">
        <v>536</v>
      </c>
      <c r="B429" s="2">
        <v>60</v>
      </c>
      <c r="C429" s="2" t="s">
        <v>46</v>
      </c>
      <c r="D429" s="2" t="s">
        <v>31</v>
      </c>
      <c r="E429" s="2">
        <v>100</v>
      </c>
      <c r="F429">
        <v>1</v>
      </c>
      <c r="G429" t="b">
        <v>1</v>
      </c>
      <c r="H429">
        <v>0</v>
      </c>
      <c r="I429" t="s">
        <v>1211</v>
      </c>
      <c r="K429" t="s">
        <v>1243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>
      <c r="A430" t="s">
        <v>537</v>
      </c>
      <c r="B430" s="2">
        <v>40</v>
      </c>
      <c r="C430" s="2" t="s">
        <v>46</v>
      </c>
      <c r="D430" s="2" t="s">
        <v>31</v>
      </c>
      <c r="E430" s="2">
        <v>100</v>
      </c>
      <c r="F430">
        <v>1</v>
      </c>
      <c r="G430" t="b">
        <v>1</v>
      </c>
      <c r="H430">
        <v>1</v>
      </c>
      <c r="I430" t="s">
        <v>1211</v>
      </c>
      <c r="K430" t="s">
        <v>1243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>
      <c r="A431" t="s">
        <v>538</v>
      </c>
      <c r="B431" s="2">
        <v>0</v>
      </c>
      <c r="C431" s="2" t="s">
        <v>40</v>
      </c>
      <c r="D431" s="2" t="s">
        <v>42</v>
      </c>
      <c r="E431" s="2">
        <v>30</v>
      </c>
      <c r="F431">
        <v>1</v>
      </c>
      <c r="G431" t="b">
        <v>0</v>
      </c>
      <c r="H431">
        <v>0</v>
      </c>
      <c r="I431" t="s">
        <v>1215</v>
      </c>
      <c r="J431" t="s">
        <v>1229</v>
      </c>
      <c r="K431" t="s">
        <v>1243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>
      <c r="A432" t="s">
        <v>539</v>
      </c>
      <c r="B432" s="2">
        <v>90</v>
      </c>
      <c r="C432" s="2" t="s">
        <v>53</v>
      </c>
      <c r="D432" s="2" t="s">
        <v>42</v>
      </c>
      <c r="E432" s="2">
        <v>100</v>
      </c>
      <c r="F432">
        <v>1</v>
      </c>
      <c r="G432" t="b">
        <v>0</v>
      </c>
      <c r="H432">
        <v>0</v>
      </c>
      <c r="I432" t="s">
        <v>1216</v>
      </c>
      <c r="J432" t="s">
        <v>1230</v>
      </c>
      <c r="K432" t="s">
        <v>1243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>
      <c r="A433" t="s">
        <v>540</v>
      </c>
      <c r="B433" s="2">
        <v>150</v>
      </c>
      <c r="C433" s="2" t="s">
        <v>19</v>
      </c>
      <c r="D433" s="2" t="s">
        <v>42</v>
      </c>
      <c r="E433" s="2">
        <v>100</v>
      </c>
      <c r="F433">
        <v>1</v>
      </c>
      <c r="G433" t="b">
        <v>0</v>
      </c>
      <c r="H433">
        <v>-3</v>
      </c>
      <c r="I433" t="s">
        <v>1211</v>
      </c>
      <c r="K433" t="s">
        <v>1245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>
      <c r="A434" t="s">
        <v>541</v>
      </c>
      <c r="B434" s="2">
        <v>60</v>
      </c>
      <c r="C434" s="2" t="s">
        <v>41</v>
      </c>
      <c r="D434" s="2" t="s">
        <v>42</v>
      </c>
      <c r="E434" s="2">
        <v>100</v>
      </c>
      <c r="F434">
        <v>1</v>
      </c>
      <c r="G434" t="b">
        <v>0</v>
      </c>
      <c r="H434">
        <v>0</v>
      </c>
      <c r="I434" t="s">
        <v>1211</v>
      </c>
      <c r="K434" t="s">
        <v>1243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>
      <c r="A435" t="s">
        <v>542</v>
      </c>
      <c r="B435" s="2">
        <v>75</v>
      </c>
      <c r="C435" s="2" t="s">
        <v>21</v>
      </c>
      <c r="D435" s="2" t="s">
        <v>42</v>
      </c>
      <c r="E435" s="2">
        <v>100</v>
      </c>
      <c r="F435">
        <v>1</v>
      </c>
      <c r="G435" t="b">
        <v>0</v>
      </c>
      <c r="H435">
        <v>0</v>
      </c>
      <c r="I435" t="s">
        <v>1211</v>
      </c>
      <c r="K435" t="s">
        <v>1243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>
      <c r="A436" t="s">
        <v>543</v>
      </c>
      <c r="B436" s="2">
        <v>60</v>
      </c>
      <c r="C436" s="2" t="s">
        <v>21</v>
      </c>
      <c r="D436" s="2" t="s">
        <v>42</v>
      </c>
      <c r="E436" s="2">
        <v>100</v>
      </c>
      <c r="F436">
        <v>1</v>
      </c>
      <c r="G436" t="b">
        <v>0</v>
      </c>
      <c r="H436">
        <v>0</v>
      </c>
      <c r="I436" t="s">
        <v>1211</v>
      </c>
      <c r="K436" t="s">
        <v>1243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>
      <c r="A437" t="s">
        <v>544</v>
      </c>
      <c r="B437" s="2">
        <v>180</v>
      </c>
      <c r="C437" s="2" t="s">
        <v>46</v>
      </c>
      <c r="D437" s="2" t="s">
        <v>31</v>
      </c>
      <c r="E437" s="2">
        <v>100</v>
      </c>
      <c r="F437">
        <v>1</v>
      </c>
      <c r="G437" t="b">
        <v>0</v>
      </c>
      <c r="H437">
        <v>0</v>
      </c>
      <c r="I437" t="s">
        <v>1211</v>
      </c>
      <c r="K437" t="s">
        <v>1243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>
      <c r="A438" t="s">
        <v>545</v>
      </c>
      <c r="B438" s="2">
        <v>60</v>
      </c>
      <c r="C438" s="2" t="s">
        <v>19</v>
      </c>
      <c r="D438" s="2" t="s">
        <v>31</v>
      </c>
      <c r="E438" s="2">
        <v>100</v>
      </c>
      <c r="F438">
        <v>1</v>
      </c>
      <c r="G438" t="b">
        <v>1</v>
      </c>
      <c r="H438">
        <v>0</v>
      </c>
      <c r="I438" t="s">
        <v>1211</v>
      </c>
      <c r="K438" t="s">
        <v>1243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>
      <c r="A439" t="s">
        <v>546</v>
      </c>
      <c r="B439" s="2">
        <v>70</v>
      </c>
      <c r="C439" s="2" t="s">
        <v>21</v>
      </c>
      <c r="D439" s="2" t="s">
        <v>31</v>
      </c>
      <c r="E439" s="2">
        <v>90</v>
      </c>
      <c r="F439">
        <v>1</v>
      </c>
      <c r="G439" t="b">
        <v>1</v>
      </c>
      <c r="H439">
        <v>0</v>
      </c>
      <c r="I439" t="s">
        <v>1211</v>
      </c>
      <c r="K439" t="s">
        <v>1243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>
      <c r="A440" t="s">
        <v>547</v>
      </c>
      <c r="B440" s="2">
        <v>130</v>
      </c>
      <c r="C440" s="2" t="s">
        <v>32</v>
      </c>
      <c r="D440" s="2" t="s">
        <v>31</v>
      </c>
      <c r="E440" s="2">
        <v>100</v>
      </c>
      <c r="F440">
        <v>1</v>
      </c>
      <c r="G440" t="b">
        <v>1</v>
      </c>
      <c r="H440">
        <v>0</v>
      </c>
      <c r="I440" t="s">
        <v>1211</v>
      </c>
      <c r="K440" t="s">
        <v>1243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>
      <c r="A441" t="s">
        <v>548</v>
      </c>
      <c r="B441" s="2">
        <v>140</v>
      </c>
      <c r="C441" s="2" t="s">
        <v>35</v>
      </c>
      <c r="D441" s="2" t="s">
        <v>31</v>
      </c>
      <c r="E441" s="2">
        <v>90</v>
      </c>
      <c r="F441">
        <v>1</v>
      </c>
      <c r="G441" t="b">
        <v>0</v>
      </c>
      <c r="H441">
        <v>0</v>
      </c>
      <c r="I441" t="s">
        <v>1211</v>
      </c>
      <c r="K441" t="s">
        <v>1243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>
      <c r="A442" t="s">
        <v>549</v>
      </c>
      <c r="B442" s="2">
        <v>60</v>
      </c>
      <c r="C442" s="2" t="s">
        <v>35</v>
      </c>
      <c r="D442" s="2" t="s">
        <v>31</v>
      </c>
      <c r="E442" s="2">
        <v>100</v>
      </c>
      <c r="F442">
        <v>1</v>
      </c>
      <c r="G442" t="b">
        <v>1</v>
      </c>
      <c r="H442">
        <v>0</v>
      </c>
      <c r="I442" t="s">
        <v>1211</v>
      </c>
      <c r="K442" t="s">
        <v>1243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>
      <c r="A443" t="s">
        <v>550</v>
      </c>
      <c r="B443" s="2">
        <v>85</v>
      </c>
      <c r="C443" s="2" t="s">
        <v>20</v>
      </c>
      <c r="D443" s="2" t="s">
        <v>31</v>
      </c>
      <c r="E443" s="2">
        <v>90</v>
      </c>
      <c r="F443">
        <v>1</v>
      </c>
      <c r="G443" t="b">
        <v>1</v>
      </c>
      <c r="H443">
        <v>0</v>
      </c>
      <c r="I443" t="s">
        <v>1211</v>
      </c>
      <c r="K443" t="s">
        <v>1243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>
      <c r="A444" t="s">
        <v>551</v>
      </c>
      <c r="B444" s="2">
        <v>80</v>
      </c>
      <c r="C444" s="2" t="s">
        <v>32</v>
      </c>
      <c r="D444" s="2" t="s">
        <v>31</v>
      </c>
      <c r="E444" s="2">
        <v>75</v>
      </c>
      <c r="F444">
        <v>1</v>
      </c>
      <c r="G444" t="b">
        <v>1</v>
      </c>
      <c r="H444">
        <v>0</v>
      </c>
      <c r="I444" t="s">
        <v>1211</v>
      </c>
      <c r="K444" t="s">
        <v>1243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 t="s">
        <v>552</v>
      </c>
      <c r="B445" s="2">
        <v>70</v>
      </c>
      <c r="C445" s="2" t="s">
        <v>32</v>
      </c>
      <c r="D445" s="2" t="s">
        <v>31</v>
      </c>
      <c r="E445" s="2">
        <v>100</v>
      </c>
      <c r="F445">
        <v>1</v>
      </c>
      <c r="G445" t="b">
        <v>1</v>
      </c>
      <c r="H445">
        <v>0</v>
      </c>
      <c r="I445" t="s">
        <v>1211</v>
      </c>
      <c r="K445" t="s">
        <v>1243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>
      <c r="A446" t="s">
        <v>553</v>
      </c>
      <c r="B446" s="2">
        <v>65</v>
      </c>
      <c r="C446" s="2" t="s">
        <v>53</v>
      </c>
      <c r="D446" s="2" t="s">
        <v>42</v>
      </c>
      <c r="E446" s="2">
        <v>100</v>
      </c>
      <c r="F446">
        <v>1</v>
      </c>
      <c r="G446" t="b">
        <v>0</v>
      </c>
      <c r="H446">
        <v>0</v>
      </c>
      <c r="I446" t="s">
        <v>1211</v>
      </c>
      <c r="K446" t="s">
        <v>1243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>
      <c r="A447" t="s">
        <v>554</v>
      </c>
      <c r="B447" s="2">
        <v>90</v>
      </c>
      <c r="C447" s="2" t="s">
        <v>53</v>
      </c>
      <c r="D447" s="2" t="s">
        <v>42</v>
      </c>
      <c r="E447" s="2">
        <v>100</v>
      </c>
      <c r="F447">
        <v>1</v>
      </c>
      <c r="G447" t="b">
        <v>0</v>
      </c>
      <c r="H447">
        <v>0</v>
      </c>
      <c r="I447" t="s">
        <v>1211</v>
      </c>
      <c r="K447" t="s">
        <v>1243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>
      <c r="A448" t="s">
        <v>555</v>
      </c>
      <c r="B448" s="2">
        <v>95</v>
      </c>
      <c r="C448" s="2" t="s">
        <v>53</v>
      </c>
      <c r="D448" s="2" t="s">
        <v>42</v>
      </c>
      <c r="E448" s="2">
        <v>100</v>
      </c>
      <c r="F448">
        <v>1</v>
      </c>
      <c r="G448" t="b">
        <v>0</v>
      </c>
      <c r="H448">
        <v>0</v>
      </c>
      <c r="I448" t="s">
        <v>1211</v>
      </c>
      <c r="K448" t="s">
        <v>1243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>
      <c r="A449" t="s">
        <v>556</v>
      </c>
      <c r="B449" s="2">
        <v>50</v>
      </c>
      <c r="C449" s="2" t="s">
        <v>25</v>
      </c>
      <c r="D449" s="2" t="s">
        <v>31</v>
      </c>
      <c r="E449" s="2">
        <v>100</v>
      </c>
      <c r="F449">
        <v>1</v>
      </c>
      <c r="G449" t="b">
        <v>0</v>
      </c>
      <c r="H449">
        <v>0</v>
      </c>
      <c r="I449" t="s">
        <v>1211</v>
      </c>
      <c r="K449" t="s">
        <v>1243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 t="s">
        <v>112</v>
      </c>
      <c r="B450" s="2">
        <v>70</v>
      </c>
      <c r="C450" s="2" t="s">
        <v>24</v>
      </c>
      <c r="D450" s="2" t="s">
        <v>31</v>
      </c>
      <c r="E450" s="2">
        <v>100</v>
      </c>
      <c r="F450">
        <v>1</v>
      </c>
      <c r="G450" t="b">
        <v>0</v>
      </c>
      <c r="H450">
        <v>0</v>
      </c>
      <c r="I450" t="s">
        <v>1211</v>
      </c>
      <c r="K450" t="s">
        <v>1243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 t="s">
        <v>557</v>
      </c>
      <c r="B451" s="2">
        <v>70</v>
      </c>
      <c r="C451" s="2" t="s">
        <v>32</v>
      </c>
      <c r="D451" s="2" t="s">
        <v>31</v>
      </c>
      <c r="E451" s="2">
        <v>100</v>
      </c>
      <c r="F451">
        <v>1</v>
      </c>
      <c r="G451" t="b">
        <v>1</v>
      </c>
      <c r="H451">
        <v>0</v>
      </c>
      <c r="I451" t="s">
        <v>1212</v>
      </c>
      <c r="J451" t="s">
        <v>1227</v>
      </c>
      <c r="K451" t="s">
        <v>1243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>
      <c r="A452" t="s">
        <v>558</v>
      </c>
      <c r="B452" s="2">
        <v>30</v>
      </c>
      <c r="C452" s="2" t="s">
        <v>53</v>
      </c>
      <c r="D452" s="2" t="s">
        <v>42</v>
      </c>
      <c r="E452" s="2">
        <v>70</v>
      </c>
      <c r="F452">
        <v>1</v>
      </c>
      <c r="G452" t="b">
        <v>0</v>
      </c>
      <c r="H452">
        <v>0</v>
      </c>
      <c r="I452" t="s">
        <v>1211</v>
      </c>
      <c r="K452" t="s">
        <v>1243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>
      <c r="A453" t="s">
        <v>559</v>
      </c>
      <c r="B453" s="2">
        <v>35</v>
      </c>
      <c r="C453" s="2" t="s">
        <v>43</v>
      </c>
      <c r="D453" s="2" t="s">
        <v>31</v>
      </c>
      <c r="E453" s="2">
        <v>100</v>
      </c>
      <c r="F453">
        <v>1</v>
      </c>
      <c r="G453" t="b">
        <v>1</v>
      </c>
      <c r="H453">
        <v>0</v>
      </c>
      <c r="I453" t="s">
        <v>1211</v>
      </c>
      <c r="K453" t="s">
        <v>1243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>
      <c r="A454" t="s">
        <v>560</v>
      </c>
      <c r="B454" s="2">
        <v>55</v>
      </c>
      <c r="C454" s="2" t="s">
        <v>38</v>
      </c>
      <c r="D454" s="2" t="s">
        <v>42</v>
      </c>
      <c r="E454" s="2">
        <v>95</v>
      </c>
      <c r="F454">
        <v>1</v>
      </c>
      <c r="G454" t="b">
        <v>0</v>
      </c>
      <c r="H454">
        <v>0</v>
      </c>
      <c r="I454" t="s">
        <v>1211</v>
      </c>
      <c r="K454" t="s">
        <v>1243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>
      <c r="A455" t="s">
        <v>561</v>
      </c>
      <c r="B455" s="2">
        <v>80</v>
      </c>
      <c r="C455" s="2" t="s">
        <v>34</v>
      </c>
      <c r="D455" s="2" t="s">
        <v>42</v>
      </c>
      <c r="E455" s="2">
        <v>100</v>
      </c>
      <c r="F455">
        <v>1</v>
      </c>
      <c r="G455" t="b">
        <v>0</v>
      </c>
      <c r="H455">
        <v>0</v>
      </c>
      <c r="I455" t="s">
        <v>1211</v>
      </c>
      <c r="K455" t="s">
        <v>1243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 t="s">
        <v>562</v>
      </c>
      <c r="B456" s="2">
        <v>50</v>
      </c>
      <c r="C456" s="2" t="s">
        <v>32</v>
      </c>
      <c r="D456" s="2" t="s">
        <v>42</v>
      </c>
      <c r="E456" s="2">
        <v>100</v>
      </c>
      <c r="F456">
        <v>1</v>
      </c>
      <c r="G456" t="b">
        <v>0</v>
      </c>
      <c r="H456">
        <v>0</v>
      </c>
      <c r="I456" t="s">
        <v>1211</v>
      </c>
      <c r="K456" t="s">
        <v>1243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>
      <c r="A457" t="s">
        <v>563</v>
      </c>
      <c r="B457" s="2">
        <v>120</v>
      </c>
      <c r="C457" s="2" t="s">
        <v>43</v>
      </c>
      <c r="D457" s="2" t="s">
        <v>42</v>
      </c>
      <c r="E457" s="2">
        <v>100</v>
      </c>
      <c r="F457">
        <v>1</v>
      </c>
      <c r="G457" t="b">
        <v>0</v>
      </c>
      <c r="H457">
        <v>0</v>
      </c>
      <c r="I457" t="s">
        <v>1211</v>
      </c>
      <c r="K457" t="s">
        <v>1243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>
      <c r="A458" t="s">
        <v>564</v>
      </c>
      <c r="B458" s="2">
        <v>125</v>
      </c>
      <c r="C458" s="2" t="s">
        <v>43</v>
      </c>
      <c r="D458" s="2" t="s">
        <v>31</v>
      </c>
      <c r="E458" s="2">
        <v>100</v>
      </c>
      <c r="F458">
        <v>1</v>
      </c>
      <c r="G458" t="b">
        <v>0</v>
      </c>
      <c r="H458">
        <v>0</v>
      </c>
      <c r="I458" t="s">
        <v>1211</v>
      </c>
      <c r="K458" t="s">
        <v>1243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>
      <c r="A459" t="s">
        <v>565</v>
      </c>
      <c r="B459" s="2">
        <v>0</v>
      </c>
      <c r="C459" s="2" t="s">
        <v>32</v>
      </c>
      <c r="D459" s="2" t="s">
        <v>42</v>
      </c>
      <c r="E459" s="2">
        <v>90</v>
      </c>
      <c r="F459">
        <v>1</v>
      </c>
      <c r="G459" t="b">
        <v>0</v>
      </c>
      <c r="H459">
        <v>0</v>
      </c>
      <c r="I459" t="s">
        <v>1213</v>
      </c>
      <c r="J459" t="s">
        <v>1228</v>
      </c>
      <c r="K459" t="s">
        <v>1243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 t="s">
        <v>566</v>
      </c>
      <c r="B460" s="2">
        <v>195</v>
      </c>
      <c r="C460" s="2" t="s">
        <v>46</v>
      </c>
      <c r="D460" s="2" t="s">
        <v>31</v>
      </c>
      <c r="E460" s="2">
        <v>100</v>
      </c>
      <c r="F460">
        <v>1</v>
      </c>
      <c r="G460" t="b">
        <v>0</v>
      </c>
      <c r="H460">
        <v>0</v>
      </c>
      <c r="I460" t="s">
        <v>1211</v>
      </c>
      <c r="K460" t="s">
        <v>1243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 t="s">
        <v>567</v>
      </c>
      <c r="B461" s="2">
        <v>100</v>
      </c>
      <c r="C461" s="2" t="s">
        <v>47</v>
      </c>
      <c r="D461" s="2" t="s">
        <v>42</v>
      </c>
      <c r="E461" s="2">
        <v>95</v>
      </c>
      <c r="F461">
        <v>1</v>
      </c>
      <c r="G461" t="b">
        <v>0</v>
      </c>
      <c r="H461">
        <v>0</v>
      </c>
      <c r="I461" t="s">
        <v>1211</v>
      </c>
      <c r="K461" t="s">
        <v>1243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>
      <c r="A462" t="s">
        <v>130</v>
      </c>
      <c r="B462" s="2">
        <v>65</v>
      </c>
      <c r="C462" s="2" t="s">
        <v>41</v>
      </c>
      <c r="D462" s="2" t="s">
        <v>31</v>
      </c>
      <c r="E462" s="2">
        <v>100</v>
      </c>
      <c r="F462">
        <v>1</v>
      </c>
      <c r="G462" t="b">
        <v>1</v>
      </c>
      <c r="H462">
        <v>0</v>
      </c>
      <c r="I462" t="s">
        <v>1211</v>
      </c>
      <c r="K462" t="s">
        <v>1243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>
      <c r="A463" t="s">
        <v>568</v>
      </c>
      <c r="B463" s="2">
        <v>90</v>
      </c>
      <c r="C463" s="2" t="s">
        <v>34</v>
      </c>
      <c r="D463" s="2" t="s">
        <v>42</v>
      </c>
      <c r="E463" s="2">
        <v>100</v>
      </c>
      <c r="F463">
        <v>1</v>
      </c>
      <c r="G463" t="b">
        <v>0</v>
      </c>
      <c r="H463">
        <v>0</v>
      </c>
      <c r="I463" t="s">
        <v>1211</v>
      </c>
      <c r="K463" t="s">
        <v>1243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>
      <c r="A464" t="s">
        <v>569</v>
      </c>
      <c r="B464" s="2">
        <v>120</v>
      </c>
      <c r="C464" s="2" t="s">
        <v>44</v>
      </c>
      <c r="D464" s="2" t="s">
        <v>42</v>
      </c>
      <c r="E464" s="2">
        <v>85</v>
      </c>
      <c r="F464">
        <v>1</v>
      </c>
      <c r="G464" t="b">
        <v>0</v>
      </c>
      <c r="H464">
        <v>0</v>
      </c>
      <c r="I464" t="s">
        <v>1211</v>
      </c>
      <c r="K464" t="s">
        <v>1243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>
      <c r="A465" t="s">
        <v>570</v>
      </c>
      <c r="B465" s="2">
        <v>90</v>
      </c>
      <c r="C465" s="2" t="s">
        <v>46</v>
      </c>
      <c r="D465" s="2" t="s">
        <v>31</v>
      </c>
      <c r="E465" s="2">
        <v>100</v>
      </c>
      <c r="F465">
        <v>1</v>
      </c>
      <c r="G465" t="b">
        <v>1</v>
      </c>
      <c r="H465">
        <v>0</v>
      </c>
      <c r="I465" t="s">
        <v>1211</v>
      </c>
      <c r="K465" t="s">
        <v>1243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>
      <c r="A466" t="s">
        <v>571</v>
      </c>
      <c r="B466" s="2">
        <v>20</v>
      </c>
      <c r="C466" s="2" t="s">
        <v>32</v>
      </c>
      <c r="D466" s="2" t="s">
        <v>31</v>
      </c>
      <c r="E466" s="2">
        <v>100</v>
      </c>
      <c r="F466">
        <v>1</v>
      </c>
      <c r="G466" t="b">
        <v>0</v>
      </c>
      <c r="H466">
        <v>0</v>
      </c>
      <c r="I466" t="s">
        <v>1211</v>
      </c>
      <c r="K466" t="s">
        <v>1243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>
      <c r="A467" t="s">
        <v>572</v>
      </c>
      <c r="B467" s="2">
        <v>75</v>
      </c>
      <c r="C467" s="2" t="s">
        <v>44</v>
      </c>
      <c r="D467" s="2" t="s">
        <v>31</v>
      </c>
      <c r="E467" s="2">
        <v>100</v>
      </c>
      <c r="F467">
        <v>1</v>
      </c>
      <c r="G467" t="b">
        <v>1</v>
      </c>
      <c r="H467">
        <v>0</v>
      </c>
      <c r="I467" t="s">
        <v>1211</v>
      </c>
      <c r="K467" t="s">
        <v>1243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>
      <c r="A468" t="s">
        <v>573</v>
      </c>
      <c r="B468" s="2">
        <v>80</v>
      </c>
      <c r="C468" s="2" t="s">
        <v>46</v>
      </c>
      <c r="D468" s="2" t="s">
        <v>31</v>
      </c>
      <c r="E468" s="2">
        <v>100</v>
      </c>
      <c r="F468">
        <v>1</v>
      </c>
      <c r="G468" t="b">
        <v>0</v>
      </c>
      <c r="H468">
        <v>0</v>
      </c>
      <c r="I468" t="s">
        <v>1211</v>
      </c>
      <c r="K468" t="s">
        <v>1243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>
      <c r="A469" t="s">
        <v>574</v>
      </c>
      <c r="B469" s="2">
        <v>0</v>
      </c>
      <c r="C469" s="2" t="s">
        <v>32</v>
      </c>
      <c r="D469" s="2" t="s">
        <v>42</v>
      </c>
      <c r="E469" s="2">
        <v>100</v>
      </c>
      <c r="F469">
        <v>1</v>
      </c>
      <c r="G469" t="b">
        <v>0</v>
      </c>
      <c r="H469">
        <v>0</v>
      </c>
      <c r="I469" t="s">
        <v>1212</v>
      </c>
      <c r="J469" t="s">
        <v>1227</v>
      </c>
      <c r="K469" t="s">
        <v>1243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>
      <c r="A470" t="s">
        <v>575</v>
      </c>
      <c r="B470" s="2">
        <v>190</v>
      </c>
      <c r="C470" s="2" t="s">
        <v>25</v>
      </c>
      <c r="D470" s="2" t="s">
        <v>31</v>
      </c>
      <c r="E470" s="2">
        <v>100</v>
      </c>
      <c r="F470">
        <v>1</v>
      </c>
      <c r="G470" t="b">
        <v>0</v>
      </c>
      <c r="H470">
        <v>0</v>
      </c>
      <c r="I470" t="s">
        <v>1211</v>
      </c>
      <c r="K470" t="s">
        <v>1243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>
      <c r="A471" t="s">
        <v>576</v>
      </c>
      <c r="B471" s="2">
        <v>90</v>
      </c>
      <c r="C471" s="2" t="s">
        <v>34</v>
      </c>
      <c r="D471" s="2" t="s">
        <v>42</v>
      </c>
      <c r="E471" s="2">
        <v>100</v>
      </c>
      <c r="F471">
        <v>1</v>
      </c>
      <c r="G471" t="b">
        <v>0</v>
      </c>
      <c r="H471">
        <v>0</v>
      </c>
      <c r="I471" t="s">
        <v>1211</v>
      </c>
      <c r="K471" t="s">
        <v>1243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>
      <c r="A472" t="s">
        <v>577</v>
      </c>
      <c r="B472" s="2">
        <v>100</v>
      </c>
      <c r="C472" s="2" t="s">
        <v>44</v>
      </c>
      <c r="D472" s="2" t="s">
        <v>42</v>
      </c>
      <c r="E472" s="2">
        <v>80</v>
      </c>
      <c r="F472">
        <v>1</v>
      </c>
      <c r="G472" t="b">
        <v>0</v>
      </c>
      <c r="H472">
        <v>0</v>
      </c>
      <c r="I472" t="s">
        <v>1211</v>
      </c>
      <c r="K472" t="s">
        <v>1243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>
      <c r="A473" t="s">
        <v>578</v>
      </c>
      <c r="B473" s="2">
        <v>110</v>
      </c>
      <c r="C473" s="2" t="s">
        <v>34</v>
      </c>
      <c r="D473" s="2" t="s">
        <v>42</v>
      </c>
      <c r="E473" s="2">
        <v>95</v>
      </c>
      <c r="F473">
        <v>1</v>
      </c>
      <c r="G473" t="b">
        <v>0</v>
      </c>
      <c r="H473">
        <v>0</v>
      </c>
      <c r="I473" t="s">
        <v>1211</v>
      </c>
      <c r="K473" t="s">
        <v>1243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>
      <c r="A474" t="s">
        <v>579</v>
      </c>
      <c r="B474" s="2">
        <v>65</v>
      </c>
      <c r="C474" s="2" t="s">
        <v>21</v>
      </c>
      <c r="D474" s="2" t="s">
        <v>31</v>
      </c>
      <c r="E474" s="2">
        <v>100</v>
      </c>
      <c r="F474">
        <v>1</v>
      </c>
      <c r="G474" t="b">
        <v>1</v>
      </c>
      <c r="H474">
        <v>0</v>
      </c>
      <c r="I474" t="s">
        <v>1211</v>
      </c>
      <c r="K474" t="s">
        <v>1243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>
      <c r="A475" t="s">
        <v>580</v>
      </c>
      <c r="B475" s="2">
        <v>140</v>
      </c>
      <c r="C475" s="2" t="s">
        <v>24</v>
      </c>
      <c r="D475" s="2" t="s">
        <v>42</v>
      </c>
      <c r="E475" s="2">
        <v>95</v>
      </c>
      <c r="F475">
        <v>1</v>
      </c>
      <c r="G475" t="b">
        <v>0</v>
      </c>
      <c r="H475">
        <v>0</v>
      </c>
      <c r="I475" t="s">
        <v>1211</v>
      </c>
      <c r="K475" t="s">
        <v>1243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>
      <c r="A476" t="s">
        <v>581</v>
      </c>
      <c r="B476" s="2">
        <v>130</v>
      </c>
      <c r="C476" s="2" t="s">
        <v>24</v>
      </c>
      <c r="D476" s="2" t="s">
        <v>31</v>
      </c>
      <c r="E476" s="2">
        <v>100</v>
      </c>
      <c r="F476">
        <v>1</v>
      </c>
      <c r="G476" t="b">
        <v>1</v>
      </c>
      <c r="H476">
        <v>0</v>
      </c>
      <c r="I476" t="s">
        <v>1212</v>
      </c>
      <c r="J476" t="s">
        <v>1227</v>
      </c>
      <c r="K476" t="s">
        <v>1243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 t="s">
        <v>582</v>
      </c>
      <c r="B477" s="2">
        <v>70</v>
      </c>
      <c r="C477" s="2" t="s">
        <v>24</v>
      </c>
      <c r="D477" s="2" t="s">
        <v>31</v>
      </c>
      <c r="E477" s="2">
        <v>90</v>
      </c>
      <c r="F477">
        <v>1</v>
      </c>
      <c r="G477" t="b">
        <v>1</v>
      </c>
      <c r="H477">
        <v>0</v>
      </c>
      <c r="I477" t="s">
        <v>1211</v>
      </c>
      <c r="K477" t="s">
        <v>1243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>
      <c r="A478" t="s">
        <v>583</v>
      </c>
      <c r="B478" s="2">
        <v>175</v>
      </c>
      <c r="C478" s="2" t="s">
        <v>41</v>
      </c>
      <c r="D478" s="2" t="s">
        <v>42</v>
      </c>
      <c r="E478" s="2">
        <v>100</v>
      </c>
      <c r="F478">
        <v>1</v>
      </c>
      <c r="G478" t="b">
        <v>0</v>
      </c>
      <c r="H478">
        <v>0</v>
      </c>
      <c r="I478" t="s">
        <v>1211</v>
      </c>
      <c r="K478" t="s">
        <v>1243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>
      <c r="A479" t="s">
        <v>584</v>
      </c>
      <c r="B479" s="2">
        <v>65</v>
      </c>
      <c r="C479" s="2" t="s">
        <v>32</v>
      </c>
      <c r="D479" s="2" t="s">
        <v>31</v>
      </c>
      <c r="E479" s="2">
        <v>100</v>
      </c>
      <c r="F479">
        <v>1</v>
      </c>
      <c r="G479" t="b">
        <v>1</v>
      </c>
      <c r="H479">
        <v>0</v>
      </c>
      <c r="I479" t="s">
        <v>1211</v>
      </c>
      <c r="K479" t="s">
        <v>1243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>
      <c r="A480" t="s">
        <v>585</v>
      </c>
      <c r="B480" s="2">
        <v>75</v>
      </c>
      <c r="C480" s="2" t="s">
        <v>23</v>
      </c>
      <c r="D480" s="2" t="s">
        <v>31</v>
      </c>
      <c r="E480" s="2">
        <v>100</v>
      </c>
      <c r="F480">
        <v>1</v>
      </c>
      <c r="G480" t="b">
        <v>1</v>
      </c>
      <c r="H480">
        <v>0</v>
      </c>
      <c r="I480" t="s">
        <v>1212</v>
      </c>
      <c r="J480" t="s">
        <v>1227</v>
      </c>
      <c r="K480" t="s">
        <v>1244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>
      <c r="A481" t="s">
        <v>586</v>
      </c>
      <c r="B481" s="2">
        <v>65</v>
      </c>
      <c r="C481" s="2" t="s">
        <v>25</v>
      </c>
      <c r="D481" s="2" t="s">
        <v>31</v>
      </c>
      <c r="E481" s="2">
        <v>90</v>
      </c>
      <c r="F481">
        <v>1</v>
      </c>
      <c r="G481" t="b">
        <v>1</v>
      </c>
      <c r="H481">
        <v>0</v>
      </c>
      <c r="I481" t="s">
        <v>1211</v>
      </c>
      <c r="K481" t="s">
        <v>1243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>
      <c r="A482" t="s">
        <v>587</v>
      </c>
      <c r="B482" s="2">
        <v>100</v>
      </c>
      <c r="C482" s="2" t="s">
        <v>25</v>
      </c>
      <c r="D482" s="2" t="s">
        <v>31</v>
      </c>
      <c r="E482" s="2">
        <v>80</v>
      </c>
      <c r="F482">
        <v>1</v>
      </c>
      <c r="G482" t="b">
        <v>0</v>
      </c>
      <c r="H482">
        <v>0</v>
      </c>
      <c r="I482" t="s">
        <v>1211</v>
      </c>
      <c r="K482" t="s">
        <v>1243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>
      <c r="A483" t="s">
        <v>588</v>
      </c>
      <c r="B483" s="2">
        <v>20</v>
      </c>
      <c r="C483" s="2" t="s">
        <v>22</v>
      </c>
      <c r="D483" s="2" t="s">
        <v>42</v>
      </c>
      <c r="E483" s="2">
        <v>100</v>
      </c>
      <c r="F483">
        <v>1</v>
      </c>
      <c r="G483" t="b">
        <v>0</v>
      </c>
      <c r="H483">
        <v>0</v>
      </c>
      <c r="I483" t="s">
        <v>1212</v>
      </c>
      <c r="J483" t="s">
        <v>1227</v>
      </c>
      <c r="K483" t="s">
        <v>1243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>
      <c r="A484" t="s">
        <v>589</v>
      </c>
      <c r="B484" s="2">
        <v>60</v>
      </c>
      <c r="C484" s="2" t="s">
        <v>20</v>
      </c>
      <c r="D484" s="2" t="s">
        <v>31</v>
      </c>
      <c r="E484" s="2">
        <v>100</v>
      </c>
      <c r="F484">
        <v>1</v>
      </c>
      <c r="G484" t="b">
        <v>1</v>
      </c>
      <c r="H484">
        <v>0</v>
      </c>
      <c r="I484" t="s">
        <v>1211</v>
      </c>
      <c r="K484" t="s">
        <v>1243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>
      <c r="A485" t="s">
        <v>590</v>
      </c>
      <c r="B485" s="2">
        <v>90</v>
      </c>
      <c r="C485" s="2" t="s">
        <v>44</v>
      </c>
      <c r="D485" s="2" t="s">
        <v>42</v>
      </c>
      <c r="E485" s="2">
        <v>95</v>
      </c>
      <c r="F485">
        <v>1</v>
      </c>
      <c r="G485" t="b">
        <v>0</v>
      </c>
      <c r="H485">
        <v>0</v>
      </c>
      <c r="I485" t="s">
        <v>1211</v>
      </c>
      <c r="K485" t="s">
        <v>1243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 t="s">
        <v>591</v>
      </c>
      <c r="B486" s="2">
        <v>80</v>
      </c>
      <c r="C486" s="2" t="s">
        <v>32</v>
      </c>
      <c r="D486" s="2" t="s">
        <v>31</v>
      </c>
      <c r="E486" s="2">
        <v>100</v>
      </c>
      <c r="F486">
        <v>1</v>
      </c>
      <c r="G486" t="b">
        <v>1</v>
      </c>
      <c r="H486">
        <v>0</v>
      </c>
      <c r="I486" t="s">
        <v>1211</v>
      </c>
      <c r="K486" t="s">
        <v>1243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>
      <c r="A487" t="s">
        <v>592</v>
      </c>
      <c r="B487" s="2">
        <v>50</v>
      </c>
      <c r="C487" s="2" t="s">
        <v>32</v>
      </c>
      <c r="D487" s="2" t="s">
        <v>31</v>
      </c>
      <c r="E487" s="2">
        <v>100</v>
      </c>
      <c r="F487">
        <v>1</v>
      </c>
      <c r="G487" t="b">
        <v>1</v>
      </c>
      <c r="H487">
        <v>0</v>
      </c>
      <c r="I487" t="s">
        <v>1211</v>
      </c>
      <c r="K487" t="s">
        <v>1243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>
      <c r="A488" t="s">
        <v>593</v>
      </c>
      <c r="B488" s="2">
        <v>50</v>
      </c>
      <c r="C488" s="2" t="s">
        <v>21</v>
      </c>
      <c r="D488" s="2" t="s">
        <v>42</v>
      </c>
      <c r="E488" s="2">
        <v>100</v>
      </c>
      <c r="F488">
        <v>1</v>
      </c>
      <c r="G488" t="b">
        <v>0</v>
      </c>
      <c r="H488">
        <v>0</v>
      </c>
      <c r="I488" t="s">
        <v>1211</v>
      </c>
      <c r="K488" t="s">
        <v>1243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>
      <c r="A489" t="s">
        <v>594</v>
      </c>
      <c r="B489" s="2">
        <v>80</v>
      </c>
      <c r="C489" s="2" t="s">
        <v>20</v>
      </c>
      <c r="D489" s="2" t="s">
        <v>31</v>
      </c>
      <c r="E489" s="2">
        <v>80</v>
      </c>
      <c r="F489">
        <v>1</v>
      </c>
      <c r="G489" t="b">
        <v>1</v>
      </c>
      <c r="H489">
        <v>0</v>
      </c>
      <c r="I489" t="s">
        <v>1211</v>
      </c>
      <c r="K489" t="s">
        <v>1243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>
      <c r="A490" t="s">
        <v>595</v>
      </c>
      <c r="B490" s="2">
        <v>70</v>
      </c>
      <c r="C490" s="2" t="s">
        <v>38</v>
      </c>
      <c r="D490" s="2" t="s">
        <v>31</v>
      </c>
      <c r="E490" s="2">
        <v>100</v>
      </c>
      <c r="F490">
        <v>1</v>
      </c>
      <c r="G490" t="b">
        <v>1</v>
      </c>
      <c r="H490">
        <v>1</v>
      </c>
      <c r="I490" t="s">
        <v>1211</v>
      </c>
      <c r="K490" t="s">
        <v>1250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>
      <c r="A491" t="s">
        <v>596</v>
      </c>
      <c r="B491" s="2">
        <v>100</v>
      </c>
      <c r="C491" s="2" t="s">
        <v>24</v>
      </c>
      <c r="D491" s="2" t="s">
        <v>31</v>
      </c>
      <c r="E491" s="2">
        <v>100</v>
      </c>
      <c r="F491">
        <v>1</v>
      </c>
      <c r="G491" t="b">
        <v>1</v>
      </c>
      <c r="H491">
        <v>0</v>
      </c>
      <c r="I491" t="s">
        <v>1211</v>
      </c>
      <c r="K491" t="s">
        <v>1243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>
      <c r="A492" t="s">
        <v>597</v>
      </c>
      <c r="B492" s="2">
        <v>0</v>
      </c>
      <c r="C492" s="2" t="s">
        <v>32</v>
      </c>
      <c r="D492" s="2" t="s">
        <v>31</v>
      </c>
      <c r="E492" s="2">
        <v>90</v>
      </c>
      <c r="F492">
        <v>1</v>
      </c>
      <c r="G492" t="b">
        <v>1</v>
      </c>
      <c r="H492">
        <v>0</v>
      </c>
      <c r="I492" t="s">
        <v>1213</v>
      </c>
      <c r="J492" t="s">
        <v>1228</v>
      </c>
      <c r="K492" t="s">
        <v>1243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>
      <c r="A493" t="s">
        <v>598</v>
      </c>
      <c r="B493" s="2">
        <v>120</v>
      </c>
      <c r="C493" s="2" t="s">
        <v>20</v>
      </c>
      <c r="D493" s="2" t="s">
        <v>31</v>
      </c>
      <c r="E493" s="2">
        <v>100</v>
      </c>
      <c r="F493">
        <v>1</v>
      </c>
      <c r="G493" t="b">
        <v>1</v>
      </c>
      <c r="H493">
        <v>0</v>
      </c>
      <c r="I493" t="s">
        <v>1211</v>
      </c>
      <c r="K493" t="s">
        <v>1243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>
      <c r="A494" t="s">
        <v>599</v>
      </c>
      <c r="B494" s="2">
        <v>90</v>
      </c>
      <c r="C494" s="2" t="s">
        <v>34</v>
      </c>
      <c r="D494" s="2" t="s">
        <v>42</v>
      </c>
      <c r="E494" s="2">
        <v>100</v>
      </c>
      <c r="F494">
        <v>1</v>
      </c>
      <c r="G494" t="b">
        <v>0</v>
      </c>
      <c r="H494">
        <v>0</v>
      </c>
      <c r="I494" t="s">
        <v>1211</v>
      </c>
      <c r="K494" t="s">
        <v>1243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>
      <c r="A495" t="s">
        <v>600</v>
      </c>
      <c r="B495" s="2">
        <v>25</v>
      </c>
      <c r="C495" s="2" t="s">
        <v>34</v>
      </c>
      <c r="D495" s="2" t="s">
        <v>31</v>
      </c>
      <c r="E495" s="2">
        <v>100</v>
      </c>
      <c r="F495">
        <v>1</v>
      </c>
      <c r="G495" t="b">
        <v>1</v>
      </c>
      <c r="H495">
        <v>0</v>
      </c>
      <c r="I495" t="s">
        <v>1211</v>
      </c>
      <c r="K495" t="s">
        <v>1243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 t="s">
        <v>601</v>
      </c>
      <c r="B496" s="2">
        <v>60</v>
      </c>
      <c r="C496" s="2" t="s">
        <v>32</v>
      </c>
      <c r="D496" s="2" t="s">
        <v>42</v>
      </c>
      <c r="E496" s="2">
        <v>100</v>
      </c>
      <c r="F496">
        <v>1</v>
      </c>
      <c r="G496" t="b">
        <v>0</v>
      </c>
      <c r="H496">
        <v>0</v>
      </c>
      <c r="I496" t="s">
        <v>1211</v>
      </c>
      <c r="K496" t="s">
        <v>1243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>
      <c r="A497" t="s">
        <v>602</v>
      </c>
      <c r="B497" s="2">
        <v>120</v>
      </c>
      <c r="C497" s="2" t="s">
        <v>22</v>
      </c>
      <c r="D497" s="2" t="s">
        <v>42</v>
      </c>
      <c r="E497" s="2">
        <v>100</v>
      </c>
      <c r="F497">
        <v>1</v>
      </c>
      <c r="G497" t="b">
        <v>0</v>
      </c>
      <c r="H497">
        <v>0</v>
      </c>
      <c r="I497" t="s">
        <v>1211</v>
      </c>
      <c r="K497" t="s">
        <v>1243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>
      <c r="A498" t="s">
        <v>603</v>
      </c>
      <c r="B498" s="2">
        <v>40</v>
      </c>
      <c r="C498" s="2" t="s">
        <v>32</v>
      </c>
      <c r="D498" s="2" t="s">
        <v>31</v>
      </c>
      <c r="E498" s="2">
        <v>100</v>
      </c>
      <c r="F498">
        <v>1</v>
      </c>
      <c r="G498" t="b">
        <v>1</v>
      </c>
      <c r="H498">
        <v>0</v>
      </c>
      <c r="I498" t="s">
        <v>1211</v>
      </c>
      <c r="K498" t="s">
        <v>1243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>
      <c r="A499" t="s">
        <v>604</v>
      </c>
      <c r="B499" s="2">
        <v>25</v>
      </c>
      <c r="C499" s="2" t="s">
        <v>32</v>
      </c>
      <c r="D499" s="2" t="s">
        <v>31</v>
      </c>
      <c r="E499" s="2">
        <v>85</v>
      </c>
      <c r="F499">
        <v>1</v>
      </c>
      <c r="G499" t="b">
        <v>1</v>
      </c>
      <c r="H499">
        <v>0</v>
      </c>
      <c r="I499" t="s">
        <v>1211</v>
      </c>
      <c r="K499" t="s">
        <v>1243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>
      <c r="A500" t="s">
        <v>605</v>
      </c>
      <c r="B500" s="2">
        <v>90</v>
      </c>
      <c r="C500" s="2" t="s">
        <v>32</v>
      </c>
      <c r="D500" s="2" t="s">
        <v>31</v>
      </c>
      <c r="E500" s="2">
        <v>85</v>
      </c>
      <c r="F500">
        <v>1</v>
      </c>
      <c r="G500" t="b">
        <v>1</v>
      </c>
      <c r="H500">
        <v>0</v>
      </c>
      <c r="I500" t="s">
        <v>1211</v>
      </c>
      <c r="K500" t="s">
        <v>1243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>
      <c r="A501" t="s">
        <v>606</v>
      </c>
      <c r="B501" s="2">
        <v>120</v>
      </c>
      <c r="C501" s="2" t="s">
        <v>32</v>
      </c>
      <c r="D501" s="2" t="s">
        <v>42</v>
      </c>
      <c r="E501" s="2">
        <v>100</v>
      </c>
      <c r="F501">
        <v>1</v>
      </c>
      <c r="G501" t="b">
        <v>0</v>
      </c>
      <c r="H501">
        <v>0</v>
      </c>
      <c r="I501" t="s">
        <v>1216</v>
      </c>
      <c r="J501" t="s">
        <v>1230</v>
      </c>
      <c r="K501" t="s">
        <v>1243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>
      <c r="A502" t="s">
        <v>607</v>
      </c>
      <c r="B502" s="2">
        <v>50</v>
      </c>
      <c r="C502" s="2" t="s">
        <v>32</v>
      </c>
      <c r="D502" s="2" t="s">
        <v>42</v>
      </c>
      <c r="E502" s="2">
        <v>100</v>
      </c>
      <c r="F502">
        <v>1</v>
      </c>
      <c r="G502" t="b">
        <v>0</v>
      </c>
      <c r="H502">
        <v>0</v>
      </c>
      <c r="I502" t="s">
        <v>1212</v>
      </c>
      <c r="J502" t="s">
        <v>1227</v>
      </c>
      <c r="K502" t="s">
        <v>1243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>
      <c r="A503" t="s">
        <v>608</v>
      </c>
      <c r="B503" s="2">
        <v>60</v>
      </c>
      <c r="C503" s="2" t="s">
        <v>38</v>
      </c>
      <c r="D503" s="2" t="s">
        <v>31</v>
      </c>
      <c r="E503" s="2">
        <v>100</v>
      </c>
      <c r="F503">
        <v>1</v>
      </c>
      <c r="G503" t="b">
        <v>1</v>
      </c>
      <c r="H503">
        <v>0</v>
      </c>
      <c r="I503" t="s">
        <v>1211</v>
      </c>
      <c r="K503" t="s">
        <v>1243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>
      <c r="A504" t="s">
        <v>609</v>
      </c>
      <c r="B504" s="2">
        <v>90</v>
      </c>
      <c r="C504" s="2" t="s">
        <v>23</v>
      </c>
      <c r="D504" s="2" t="s">
        <v>31</v>
      </c>
      <c r="E504" s="2">
        <v>100</v>
      </c>
      <c r="F504">
        <v>1</v>
      </c>
      <c r="G504" t="b">
        <v>0</v>
      </c>
      <c r="H504">
        <v>0</v>
      </c>
      <c r="I504" t="s">
        <v>1211</v>
      </c>
      <c r="K504" t="s">
        <v>1243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>
      <c r="A505" t="s">
        <v>610</v>
      </c>
      <c r="B505" s="2">
        <v>90</v>
      </c>
      <c r="C505" s="2" t="s">
        <v>23</v>
      </c>
      <c r="D505" s="2" t="s">
        <v>31</v>
      </c>
      <c r="E505" s="2">
        <v>100</v>
      </c>
      <c r="F505">
        <v>1</v>
      </c>
      <c r="G505" t="b">
        <v>0</v>
      </c>
      <c r="H505">
        <v>0</v>
      </c>
      <c r="I505" t="s">
        <v>1211</v>
      </c>
      <c r="K505" t="s">
        <v>1243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 t="s">
        <v>611</v>
      </c>
      <c r="B506" s="2">
        <v>120</v>
      </c>
      <c r="C506" s="2" t="s">
        <v>32</v>
      </c>
      <c r="D506" s="2" t="s">
        <v>31</v>
      </c>
      <c r="E506" s="2">
        <v>100</v>
      </c>
      <c r="F506">
        <v>1</v>
      </c>
      <c r="G506" t="b">
        <v>1</v>
      </c>
      <c r="H506">
        <v>0</v>
      </c>
      <c r="I506" t="s">
        <v>1211</v>
      </c>
      <c r="K506" t="s">
        <v>1243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>
      <c r="A507" t="s">
        <v>121</v>
      </c>
      <c r="B507" s="2">
        <v>80</v>
      </c>
      <c r="C507" s="2" t="s">
        <v>38</v>
      </c>
      <c r="D507" s="2" t="s">
        <v>31</v>
      </c>
      <c r="E507" s="2">
        <v>100</v>
      </c>
      <c r="F507">
        <v>1</v>
      </c>
      <c r="G507" t="b">
        <v>1</v>
      </c>
      <c r="H507">
        <v>0</v>
      </c>
      <c r="I507" t="s">
        <v>1211</v>
      </c>
      <c r="K507" t="s">
        <v>1243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>
      <c r="A508" t="s">
        <v>612</v>
      </c>
      <c r="B508" s="2">
        <v>110</v>
      </c>
      <c r="C508" s="2" t="s">
        <v>41</v>
      </c>
      <c r="D508" s="2" t="s">
        <v>42</v>
      </c>
      <c r="E508" s="2">
        <v>70</v>
      </c>
      <c r="F508">
        <v>1</v>
      </c>
      <c r="G508" t="b">
        <v>0</v>
      </c>
      <c r="H508">
        <v>0</v>
      </c>
      <c r="I508" t="s">
        <v>1211</v>
      </c>
      <c r="K508" t="s">
        <v>1243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>
      <c r="A509" t="s">
        <v>613</v>
      </c>
      <c r="B509" s="2">
        <v>80</v>
      </c>
      <c r="C509" s="2" t="s">
        <v>41</v>
      </c>
      <c r="D509" s="2" t="s">
        <v>42</v>
      </c>
      <c r="E509" s="2">
        <v>90</v>
      </c>
      <c r="F509">
        <v>1</v>
      </c>
      <c r="G509" t="b">
        <v>0</v>
      </c>
      <c r="H509">
        <v>0</v>
      </c>
      <c r="I509" t="s">
        <v>1211</v>
      </c>
      <c r="K509" t="s">
        <v>1243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>
      <c r="A510" t="s">
        <v>614</v>
      </c>
      <c r="B510" s="2">
        <v>65</v>
      </c>
      <c r="C510" s="2" t="s">
        <v>41</v>
      </c>
      <c r="D510" s="2" t="s">
        <v>31</v>
      </c>
      <c r="E510" s="2">
        <v>95</v>
      </c>
      <c r="F510">
        <v>1</v>
      </c>
      <c r="G510" t="b">
        <v>1</v>
      </c>
      <c r="H510">
        <v>0</v>
      </c>
      <c r="I510" t="s">
        <v>1211</v>
      </c>
      <c r="K510" t="s">
        <v>1243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>
      <c r="A511" t="s">
        <v>615</v>
      </c>
      <c r="B511" s="2">
        <v>75</v>
      </c>
      <c r="C511" s="2" t="s">
        <v>41</v>
      </c>
      <c r="D511" s="2" t="s">
        <v>31</v>
      </c>
      <c r="E511" s="2">
        <v>100</v>
      </c>
      <c r="F511">
        <v>1</v>
      </c>
      <c r="G511" t="b">
        <v>1</v>
      </c>
      <c r="H511">
        <v>0</v>
      </c>
      <c r="I511" t="s">
        <v>1211</v>
      </c>
      <c r="K511" t="s">
        <v>1243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>
      <c r="A512" t="s">
        <v>616</v>
      </c>
      <c r="B512" s="2">
        <v>40</v>
      </c>
      <c r="C512" s="2" t="s">
        <v>41</v>
      </c>
      <c r="D512" s="2" t="s">
        <v>42</v>
      </c>
      <c r="E512" s="2">
        <v>100</v>
      </c>
      <c r="F512">
        <v>1</v>
      </c>
      <c r="G512" t="b">
        <v>0</v>
      </c>
      <c r="H512">
        <v>0</v>
      </c>
      <c r="I512" t="s">
        <v>1211</v>
      </c>
      <c r="K512" t="s">
        <v>1243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>
      <c r="A513" t="s">
        <v>617</v>
      </c>
      <c r="B513" s="2">
        <v>90</v>
      </c>
      <c r="C513" s="2" t="s">
        <v>41</v>
      </c>
      <c r="D513" s="2" t="s">
        <v>42</v>
      </c>
      <c r="E513" s="2">
        <v>100</v>
      </c>
      <c r="F513">
        <v>1</v>
      </c>
      <c r="G513" t="b">
        <v>0</v>
      </c>
      <c r="H513">
        <v>0</v>
      </c>
      <c r="I513" t="s">
        <v>1211</v>
      </c>
      <c r="K513" t="s">
        <v>1243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 t="s">
        <v>618</v>
      </c>
      <c r="B514" s="2">
        <v>90</v>
      </c>
      <c r="C514" s="2" t="s">
        <v>20</v>
      </c>
      <c r="D514" s="2" t="s">
        <v>31</v>
      </c>
      <c r="E514" s="2">
        <v>100</v>
      </c>
      <c r="F514">
        <v>1</v>
      </c>
      <c r="G514" t="b">
        <v>1</v>
      </c>
      <c r="H514">
        <v>0</v>
      </c>
      <c r="I514" t="s">
        <v>1211</v>
      </c>
      <c r="K514" t="s">
        <v>1243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>
      <c r="A515" t="s">
        <v>619</v>
      </c>
      <c r="B515" s="2">
        <v>80</v>
      </c>
      <c r="C515" s="2" t="s">
        <v>32</v>
      </c>
      <c r="D515" s="2" t="s">
        <v>42</v>
      </c>
      <c r="E515" s="2">
        <v>100</v>
      </c>
      <c r="F515">
        <v>1</v>
      </c>
      <c r="G515" t="b">
        <v>0</v>
      </c>
      <c r="H515">
        <v>0</v>
      </c>
      <c r="I515" t="s">
        <v>1211</v>
      </c>
      <c r="K515" t="s">
        <v>1243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>
      <c r="A516" t="s">
        <v>620</v>
      </c>
      <c r="B516" s="2">
        <v>90</v>
      </c>
      <c r="C516" s="2" t="s">
        <v>20</v>
      </c>
      <c r="D516" s="2" t="s">
        <v>31</v>
      </c>
      <c r="E516" s="2">
        <v>100</v>
      </c>
      <c r="F516">
        <v>1</v>
      </c>
      <c r="G516" t="b">
        <v>0</v>
      </c>
      <c r="H516">
        <v>0</v>
      </c>
      <c r="I516" t="s">
        <v>1211</v>
      </c>
      <c r="K516" t="s">
        <v>1243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>
      <c r="A517" t="s">
        <v>621</v>
      </c>
      <c r="B517" s="2">
        <v>20</v>
      </c>
      <c r="C517" s="2" t="s">
        <v>40</v>
      </c>
      <c r="D517" s="2" t="s">
        <v>31</v>
      </c>
      <c r="E517" s="2">
        <v>90</v>
      </c>
      <c r="F517">
        <v>1</v>
      </c>
      <c r="G517" t="b">
        <v>1</v>
      </c>
      <c r="H517">
        <v>0</v>
      </c>
      <c r="I517" t="s">
        <v>1211</v>
      </c>
      <c r="K517" t="s">
        <v>1243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>
      <c r="A518" t="s">
        <v>622</v>
      </c>
      <c r="B518" s="2">
        <v>10</v>
      </c>
      <c r="C518" s="2" t="s">
        <v>20</v>
      </c>
      <c r="D518" s="2" t="s">
        <v>31</v>
      </c>
      <c r="E518" s="2">
        <v>90</v>
      </c>
      <c r="F518">
        <v>3</v>
      </c>
      <c r="G518" t="b">
        <v>1</v>
      </c>
      <c r="H518">
        <v>0</v>
      </c>
      <c r="I518" t="s">
        <v>1211</v>
      </c>
      <c r="K518" t="s">
        <v>1243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>
      <c r="A519" t="s">
        <v>623</v>
      </c>
      <c r="B519" s="2">
        <v>70</v>
      </c>
      <c r="C519" s="2" t="s">
        <v>43</v>
      </c>
      <c r="D519" s="2" t="s">
        <v>31</v>
      </c>
      <c r="E519" s="2">
        <v>100</v>
      </c>
      <c r="F519">
        <v>1</v>
      </c>
      <c r="G519" t="b">
        <v>1</v>
      </c>
      <c r="H519">
        <v>0</v>
      </c>
      <c r="I519" t="s">
        <v>1211</v>
      </c>
      <c r="K519" t="s">
        <v>1243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>
      <c r="A520" t="s">
        <v>624</v>
      </c>
      <c r="B520" s="2">
        <v>0</v>
      </c>
      <c r="C520" s="2" t="s">
        <v>32</v>
      </c>
      <c r="D520" s="2" t="s">
        <v>42</v>
      </c>
      <c r="E520" s="2">
        <v>100</v>
      </c>
      <c r="F520">
        <v>1</v>
      </c>
      <c r="G520" t="b">
        <v>1</v>
      </c>
      <c r="H520">
        <v>0</v>
      </c>
      <c r="I520" t="s">
        <v>1212</v>
      </c>
      <c r="J520" t="s">
        <v>1227</v>
      </c>
      <c r="K520" t="s">
        <v>1243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>
      <c r="A521" t="s">
        <v>625</v>
      </c>
      <c r="B521" s="2">
        <v>25</v>
      </c>
      <c r="C521" s="2" t="s">
        <v>21</v>
      </c>
      <c r="D521" s="2" t="s">
        <v>31</v>
      </c>
      <c r="E521" s="2">
        <v>100</v>
      </c>
      <c r="F521">
        <v>1</v>
      </c>
      <c r="G521" t="b">
        <v>0</v>
      </c>
      <c r="H521">
        <v>0</v>
      </c>
      <c r="I521" t="s">
        <v>1211</v>
      </c>
      <c r="K521" t="s">
        <v>1243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>
      <c r="A522" t="s">
        <v>626</v>
      </c>
      <c r="B522" s="2">
        <v>40</v>
      </c>
      <c r="C522" s="2" t="s">
        <v>47</v>
      </c>
      <c r="D522" s="2" t="s">
        <v>42</v>
      </c>
      <c r="E522" s="2">
        <v>100</v>
      </c>
      <c r="F522">
        <v>1</v>
      </c>
      <c r="G522" t="b">
        <v>0</v>
      </c>
      <c r="H522">
        <v>0</v>
      </c>
      <c r="I522" t="s">
        <v>1212</v>
      </c>
      <c r="J522" t="s">
        <v>1227</v>
      </c>
      <c r="K522" t="s">
        <v>1243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>
      <c r="A523" t="s">
        <v>627</v>
      </c>
      <c r="B523" s="2">
        <v>70</v>
      </c>
      <c r="C523" s="2" t="s">
        <v>21</v>
      </c>
      <c r="D523" s="2" t="s">
        <v>31</v>
      </c>
      <c r="E523" s="2">
        <v>100</v>
      </c>
      <c r="F523">
        <v>1</v>
      </c>
      <c r="G523" t="b">
        <v>1</v>
      </c>
      <c r="H523">
        <v>0</v>
      </c>
      <c r="I523" t="s">
        <v>1211</v>
      </c>
      <c r="K523" t="s">
        <v>1243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>
      <c r="A524" t="s">
        <v>628</v>
      </c>
      <c r="B524" s="2">
        <v>90</v>
      </c>
      <c r="C524" s="2" t="s">
        <v>32</v>
      </c>
      <c r="D524" s="2" t="s">
        <v>42</v>
      </c>
      <c r="E524" s="2">
        <v>100</v>
      </c>
      <c r="F524">
        <v>1</v>
      </c>
      <c r="G524" t="b">
        <v>0</v>
      </c>
      <c r="H524">
        <v>0</v>
      </c>
      <c r="I524" t="s">
        <v>1211</v>
      </c>
      <c r="K524" t="s">
        <v>1243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>
      <c r="A525" t="s">
        <v>629</v>
      </c>
      <c r="B525" s="2">
        <v>180</v>
      </c>
      <c r="C525" s="2" t="s">
        <v>19</v>
      </c>
      <c r="D525" s="2" t="s">
        <v>31</v>
      </c>
      <c r="E525" s="2">
        <v>95</v>
      </c>
      <c r="F525">
        <v>1</v>
      </c>
      <c r="G525" t="b">
        <v>0</v>
      </c>
      <c r="H525">
        <v>0</v>
      </c>
      <c r="I525" t="s">
        <v>1211</v>
      </c>
      <c r="K525" t="s">
        <v>1243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>
      <c r="A526" t="s">
        <v>630</v>
      </c>
      <c r="B526" s="2">
        <v>40</v>
      </c>
      <c r="C526" s="2" t="s">
        <v>20</v>
      </c>
      <c r="D526" s="2" t="s">
        <v>42</v>
      </c>
      <c r="E526" s="2">
        <v>100</v>
      </c>
      <c r="F526">
        <v>1</v>
      </c>
      <c r="G526" t="b">
        <v>0</v>
      </c>
      <c r="H526">
        <v>1</v>
      </c>
      <c r="I526" t="s">
        <v>1211</v>
      </c>
      <c r="K526" t="s">
        <v>1243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>
      <c r="A527" t="s">
        <v>631</v>
      </c>
      <c r="B527" s="2">
        <v>0</v>
      </c>
      <c r="C527" s="2" t="s">
        <v>32</v>
      </c>
      <c r="D527" s="2" t="s">
        <v>31</v>
      </c>
      <c r="E527" s="2">
        <v>100</v>
      </c>
      <c r="F527">
        <v>1</v>
      </c>
      <c r="G527" t="b">
        <v>0</v>
      </c>
      <c r="H527">
        <v>0</v>
      </c>
      <c r="I527" t="s">
        <v>1211</v>
      </c>
      <c r="K527" t="s">
        <v>1243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>
      <c r="A528" t="s">
        <v>632</v>
      </c>
      <c r="B528" s="2">
        <v>65</v>
      </c>
      <c r="C528" s="2" t="s">
        <v>53</v>
      </c>
      <c r="D528" s="2" t="s">
        <v>42</v>
      </c>
      <c r="E528" s="2">
        <v>100</v>
      </c>
      <c r="F528">
        <v>1</v>
      </c>
      <c r="G528" t="b">
        <v>0</v>
      </c>
      <c r="H528">
        <v>0</v>
      </c>
      <c r="I528" t="s">
        <v>1212</v>
      </c>
      <c r="J528" t="s">
        <v>1227</v>
      </c>
      <c r="K528" t="s">
        <v>1304</v>
      </c>
      <c r="M528">
        <v>2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>
      <c r="A529" t="s">
        <v>633</v>
      </c>
      <c r="B529" s="2">
        <v>45</v>
      </c>
      <c r="C529" s="2" t="s">
        <v>43</v>
      </c>
      <c r="D529" s="2" t="s">
        <v>31</v>
      </c>
      <c r="E529" s="2">
        <v>100</v>
      </c>
      <c r="F529">
        <v>1</v>
      </c>
      <c r="G529" t="b">
        <v>0</v>
      </c>
      <c r="H529">
        <v>0</v>
      </c>
      <c r="I529" t="s">
        <v>1211</v>
      </c>
      <c r="K529" t="s">
        <v>1243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>
      <c r="A530" t="s">
        <v>634</v>
      </c>
      <c r="B530" s="2">
        <v>55</v>
      </c>
      <c r="C530" s="2" t="s">
        <v>32</v>
      </c>
      <c r="D530" s="2" t="s">
        <v>31</v>
      </c>
      <c r="E530" s="2">
        <v>100</v>
      </c>
      <c r="F530">
        <v>1</v>
      </c>
      <c r="G530" t="b">
        <v>1</v>
      </c>
      <c r="H530">
        <v>0</v>
      </c>
      <c r="I530" t="s">
        <v>1211</v>
      </c>
      <c r="K530" t="s">
        <v>1243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>
      <c r="A531" t="s">
        <v>635</v>
      </c>
      <c r="B531" s="2">
        <v>70</v>
      </c>
      <c r="C531" s="2" t="s">
        <v>20</v>
      </c>
      <c r="D531" s="2" t="s">
        <v>31</v>
      </c>
      <c r="E531" s="2">
        <v>100</v>
      </c>
      <c r="F531">
        <v>1</v>
      </c>
      <c r="G531" t="b">
        <v>1</v>
      </c>
      <c r="H531">
        <v>-1</v>
      </c>
      <c r="I531" t="s">
        <v>1211</v>
      </c>
      <c r="K531" t="s">
        <v>1243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>
      <c r="A532" t="s">
        <v>636</v>
      </c>
      <c r="B532" s="2">
        <v>70</v>
      </c>
      <c r="C532" s="2" t="s">
        <v>41</v>
      </c>
      <c r="D532" s="2" t="s">
        <v>42</v>
      </c>
      <c r="E532" s="2">
        <v>100</v>
      </c>
      <c r="F532">
        <v>1</v>
      </c>
      <c r="G532" t="b">
        <v>0</v>
      </c>
      <c r="H532">
        <v>0</v>
      </c>
      <c r="I532" t="s">
        <v>1211</v>
      </c>
      <c r="K532" t="s">
        <v>1243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>
      <c r="A533" t="s">
        <v>637</v>
      </c>
      <c r="B533" s="2">
        <v>120</v>
      </c>
      <c r="C533" s="2" t="s">
        <v>41</v>
      </c>
      <c r="D533" s="2" t="s">
        <v>31</v>
      </c>
      <c r="E533" s="2">
        <v>100</v>
      </c>
      <c r="F533">
        <v>1</v>
      </c>
      <c r="G533" t="b">
        <v>1</v>
      </c>
      <c r="H533">
        <v>0</v>
      </c>
      <c r="I533" t="s">
        <v>1211</v>
      </c>
      <c r="K533" t="s">
        <v>1243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>
      <c r="A534" t="s">
        <v>638</v>
      </c>
      <c r="B534" s="2">
        <v>70</v>
      </c>
      <c r="C534" s="2" t="s">
        <v>20</v>
      </c>
      <c r="D534" s="2" t="s">
        <v>31</v>
      </c>
      <c r="E534" s="2">
        <v>100</v>
      </c>
      <c r="F534">
        <v>1</v>
      </c>
      <c r="G534" t="b">
        <v>1</v>
      </c>
      <c r="H534">
        <v>0</v>
      </c>
      <c r="I534" t="s">
        <v>1212</v>
      </c>
      <c r="J534" t="s">
        <v>1227</v>
      </c>
      <c r="K534" t="s">
        <v>1243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>
      <c r="A535" t="s">
        <v>639</v>
      </c>
      <c r="B535" s="2">
        <v>40</v>
      </c>
      <c r="C535" s="2" t="s">
        <v>34</v>
      </c>
      <c r="D535" s="2" t="s">
        <v>42</v>
      </c>
      <c r="E535" s="2">
        <v>100</v>
      </c>
      <c r="F535">
        <v>1</v>
      </c>
      <c r="G535" t="b">
        <v>0</v>
      </c>
      <c r="H535">
        <v>0</v>
      </c>
      <c r="I535" t="s">
        <v>1211</v>
      </c>
      <c r="K535" t="s">
        <v>1243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>
      <c r="A536" t="s">
        <v>640</v>
      </c>
      <c r="B536" s="2">
        <v>80</v>
      </c>
      <c r="C536" s="2" t="s">
        <v>34</v>
      </c>
      <c r="D536" s="2" t="s">
        <v>42</v>
      </c>
      <c r="E536" s="2">
        <v>100</v>
      </c>
      <c r="F536">
        <v>1</v>
      </c>
      <c r="G536" t="b">
        <v>0</v>
      </c>
      <c r="H536">
        <v>0</v>
      </c>
      <c r="I536" t="s">
        <v>1211</v>
      </c>
      <c r="K536" t="s">
        <v>1243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>
      <c r="A537" t="s">
        <v>73</v>
      </c>
      <c r="B537" s="2">
        <v>60</v>
      </c>
      <c r="C537" s="2" t="s">
        <v>34</v>
      </c>
      <c r="D537" s="2" t="s">
        <v>42</v>
      </c>
      <c r="E537" s="2">
        <v>100</v>
      </c>
      <c r="F537">
        <v>1</v>
      </c>
      <c r="G537" t="b">
        <v>0</v>
      </c>
      <c r="H537">
        <v>0</v>
      </c>
      <c r="I537" t="s">
        <v>1211</v>
      </c>
      <c r="K537" t="s">
        <v>1243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>
      <c r="A538" t="s">
        <v>641</v>
      </c>
      <c r="B538" s="2">
        <v>15</v>
      </c>
      <c r="C538" s="2" t="s">
        <v>34</v>
      </c>
      <c r="D538" s="2" t="s">
        <v>42</v>
      </c>
      <c r="E538" s="2">
        <v>100</v>
      </c>
      <c r="F538">
        <v>1</v>
      </c>
      <c r="G538" t="b">
        <v>0</v>
      </c>
      <c r="H538">
        <v>1</v>
      </c>
      <c r="I538" t="s">
        <v>1211</v>
      </c>
      <c r="K538" t="s">
        <v>1243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>
      <c r="A539" t="s">
        <v>642</v>
      </c>
      <c r="B539" s="2">
        <v>150</v>
      </c>
      <c r="C539" s="2" t="s">
        <v>34</v>
      </c>
      <c r="D539" s="2" t="s">
        <v>42</v>
      </c>
      <c r="E539" s="2">
        <v>100</v>
      </c>
      <c r="F539">
        <v>1</v>
      </c>
      <c r="G539" t="b">
        <v>0</v>
      </c>
      <c r="H539">
        <v>0</v>
      </c>
      <c r="I539" t="s">
        <v>1212</v>
      </c>
      <c r="J539" t="s">
        <v>1227</v>
      </c>
      <c r="K539" t="s">
        <v>1243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>
      <c r="A540" t="s">
        <v>36</v>
      </c>
      <c r="B540" s="2">
        <v>80</v>
      </c>
      <c r="C540" s="2" t="s">
        <v>34</v>
      </c>
      <c r="D540" s="2" t="s">
        <v>31</v>
      </c>
      <c r="E540" s="2">
        <v>100</v>
      </c>
      <c r="F540">
        <v>1</v>
      </c>
      <c r="G540" t="b">
        <v>1</v>
      </c>
      <c r="H540">
        <v>0</v>
      </c>
      <c r="I540" t="s">
        <v>1211</v>
      </c>
      <c r="K540" t="s">
        <v>1243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>
      <c r="A541" t="s">
        <v>643</v>
      </c>
      <c r="B541" s="2">
        <v>120</v>
      </c>
      <c r="C541" s="2" t="s">
        <v>34</v>
      </c>
      <c r="D541" s="2" t="s">
        <v>31</v>
      </c>
      <c r="E541" s="2">
        <v>100</v>
      </c>
      <c r="F541">
        <v>1</v>
      </c>
      <c r="G541" t="b">
        <v>1</v>
      </c>
      <c r="H541">
        <v>0</v>
      </c>
      <c r="I541" t="s">
        <v>1211</v>
      </c>
      <c r="K541" t="s">
        <v>1243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>
      <c r="A542" t="s">
        <v>644</v>
      </c>
      <c r="B542" s="2">
        <v>50</v>
      </c>
      <c r="C542" s="2" t="s">
        <v>32</v>
      </c>
      <c r="D542" s="2" t="s">
        <v>42</v>
      </c>
      <c r="E542" s="2">
        <v>100</v>
      </c>
      <c r="F542">
        <v>1</v>
      </c>
      <c r="G542" t="b">
        <v>0</v>
      </c>
      <c r="H542">
        <v>0</v>
      </c>
      <c r="I542" t="s">
        <v>1212</v>
      </c>
      <c r="J542" t="s">
        <v>1227</v>
      </c>
      <c r="K542" t="s">
        <v>1243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>
      <c r="A543" t="s">
        <v>74</v>
      </c>
      <c r="B543" s="2">
        <v>35</v>
      </c>
      <c r="C543" s="2" t="s">
        <v>34</v>
      </c>
      <c r="D543" s="2" t="s">
        <v>42</v>
      </c>
      <c r="E543" s="2">
        <v>85</v>
      </c>
      <c r="F543">
        <v>1</v>
      </c>
      <c r="G543" t="b">
        <v>0</v>
      </c>
      <c r="H543">
        <v>0</v>
      </c>
      <c r="I543" t="s">
        <v>1211</v>
      </c>
      <c r="K543" t="s">
        <v>1243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>
      <c r="A544" t="s">
        <v>645</v>
      </c>
      <c r="B544" s="2">
        <v>75</v>
      </c>
      <c r="C544" s="2" t="s">
        <v>38</v>
      </c>
      <c r="D544" s="2" t="s">
        <v>31</v>
      </c>
      <c r="E544" s="2">
        <v>100</v>
      </c>
      <c r="F544">
        <v>1</v>
      </c>
      <c r="G544" t="b">
        <v>1</v>
      </c>
      <c r="H544">
        <v>0</v>
      </c>
      <c r="I544" t="s">
        <v>1211</v>
      </c>
      <c r="K544" t="s">
        <v>1243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>
      <c r="A545" t="s">
        <v>646</v>
      </c>
      <c r="B545" s="2">
        <v>90</v>
      </c>
      <c r="C545" s="2" t="s">
        <v>41</v>
      </c>
      <c r="D545" s="2" t="s">
        <v>31</v>
      </c>
      <c r="E545" s="2">
        <v>100</v>
      </c>
      <c r="F545">
        <v>1</v>
      </c>
      <c r="G545" t="b">
        <v>1</v>
      </c>
      <c r="H545">
        <v>0</v>
      </c>
      <c r="I545" t="s">
        <v>1211</v>
      </c>
      <c r="K545" t="s">
        <v>1243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>
      <c r="A546" t="s">
        <v>647</v>
      </c>
      <c r="B546" s="2">
        <v>100</v>
      </c>
      <c r="C546" s="2" t="s">
        <v>41</v>
      </c>
      <c r="D546" s="2" t="s">
        <v>42</v>
      </c>
      <c r="E546" s="2">
        <v>80</v>
      </c>
      <c r="F546">
        <v>1</v>
      </c>
      <c r="G546" t="b">
        <v>0</v>
      </c>
      <c r="H546">
        <v>0</v>
      </c>
      <c r="I546" t="s">
        <v>1211</v>
      </c>
      <c r="K546" t="s">
        <v>1243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>
      <c r="A547" t="s">
        <v>648</v>
      </c>
      <c r="B547" s="2">
        <v>60</v>
      </c>
      <c r="C547" s="2" t="s">
        <v>35</v>
      </c>
      <c r="D547" s="2" t="s">
        <v>31</v>
      </c>
      <c r="E547" s="2">
        <v>100</v>
      </c>
      <c r="F547">
        <v>1</v>
      </c>
      <c r="G547" t="b">
        <v>1</v>
      </c>
      <c r="H547">
        <v>0</v>
      </c>
      <c r="I547" t="s">
        <v>1211</v>
      </c>
      <c r="K547" t="s">
        <v>1243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>
      <c r="A548" t="s">
        <v>649</v>
      </c>
      <c r="B548" s="2">
        <v>120</v>
      </c>
      <c r="C548" s="2" t="s">
        <v>43</v>
      </c>
      <c r="D548" s="2" t="s">
        <v>31</v>
      </c>
      <c r="E548" s="2">
        <v>100</v>
      </c>
      <c r="F548">
        <v>1</v>
      </c>
      <c r="G548" t="b">
        <v>1</v>
      </c>
      <c r="H548">
        <v>0</v>
      </c>
      <c r="I548" t="s">
        <v>1211</v>
      </c>
      <c r="K548" t="s">
        <v>1243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>
      <c r="A549" t="s">
        <v>650</v>
      </c>
      <c r="B549" s="2">
        <v>15</v>
      </c>
      <c r="C549" s="2" t="s">
        <v>32</v>
      </c>
      <c r="D549" s="2" t="s">
        <v>31</v>
      </c>
      <c r="E549" s="2">
        <v>90</v>
      </c>
      <c r="F549">
        <v>1</v>
      </c>
      <c r="G549" t="b">
        <v>1</v>
      </c>
      <c r="H549">
        <v>0</v>
      </c>
      <c r="I549" t="s">
        <v>1211</v>
      </c>
      <c r="K549" t="s">
        <v>1243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>
      <c r="A550" t="s">
        <v>651</v>
      </c>
      <c r="B550" s="2">
        <v>0</v>
      </c>
      <c r="C550" s="2" t="s">
        <v>32</v>
      </c>
      <c r="D550" s="2" t="s">
        <v>42</v>
      </c>
      <c r="E550" s="2">
        <v>100</v>
      </c>
      <c r="F550">
        <v>1</v>
      </c>
      <c r="G550" t="b">
        <v>1</v>
      </c>
      <c r="H550">
        <v>0</v>
      </c>
      <c r="I550" t="s">
        <v>1212</v>
      </c>
      <c r="J550" t="s">
        <v>1227</v>
      </c>
      <c r="K550" t="s">
        <v>1243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>
      <c r="A551" t="s">
        <v>652</v>
      </c>
      <c r="B551" s="2">
        <v>80</v>
      </c>
      <c r="C551" s="2" t="s">
        <v>21</v>
      </c>
      <c r="D551" s="2" t="s">
        <v>31</v>
      </c>
      <c r="E551" s="2">
        <v>100</v>
      </c>
      <c r="F551">
        <v>1</v>
      </c>
      <c r="G551" t="b">
        <v>1</v>
      </c>
      <c r="H551">
        <v>0</v>
      </c>
      <c r="I551" t="s">
        <v>1211</v>
      </c>
      <c r="K551" t="s">
        <v>1243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>
      <c r="A552" t="s">
        <v>653</v>
      </c>
      <c r="B552" s="2">
        <v>120</v>
      </c>
      <c r="C552" s="2" t="s">
        <v>41</v>
      </c>
      <c r="D552" s="2" t="s">
        <v>42</v>
      </c>
      <c r="E552" s="2">
        <v>50</v>
      </c>
      <c r="F552">
        <v>1</v>
      </c>
      <c r="G552" t="b">
        <v>0</v>
      </c>
      <c r="H552">
        <v>0</v>
      </c>
      <c r="I552" t="s">
        <v>1211</v>
      </c>
      <c r="K552" t="s">
        <v>1243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>
      <c r="A553" t="s">
        <v>654</v>
      </c>
      <c r="B553" s="2">
        <v>80</v>
      </c>
      <c r="C553" s="2" t="s">
        <v>22</v>
      </c>
      <c r="D553" s="2" t="s">
        <v>31</v>
      </c>
      <c r="E553" s="2">
        <v>90</v>
      </c>
      <c r="F553">
        <v>1</v>
      </c>
      <c r="G553" t="b">
        <v>1</v>
      </c>
      <c r="H553">
        <v>0</v>
      </c>
      <c r="I553" t="s">
        <v>1211</v>
      </c>
      <c r="K553" t="s">
        <v>1243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>
      <c r="A554" t="s">
        <v>655</v>
      </c>
      <c r="B554" s="2">
        <v>80</v>
      </c>
      <c r="C554" s="2" t="s">
        <v>41</v>
      </c>
      <c r="D554" s="2" t="s">
        <v>31</v>
      </c>
      <c r="E554" s="2">
        <v>100</v>
      </c>
      <c r="F554">
        <v>1</v>
      </c>
      <c r="G554" t="b">
        <v>1</v>
      </c>
      <c r="H554">
        <v>0</v>
      </c>
      <c r="I554" t="s">
        <v>1211</v>
      </c>
      <c r="K554" t="s">
        <v>1243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>
      <c r="A555" t="s">
        <v>656</v>
      </c>
      <c r="B555" s="2">
        <v>80</v>
      </c>
      <c r="C555" s="2" t="s">
        <v>41</v>
      </c>
      <c r="D555" s="2" t="s">
        <v>31</v>
      </c>
      <c r="E555" s="2">
        <v>100</v>
      </c>
      <c r="F555">
        <v>1</v>
      </c>
      <c r="G555" t="b">
        <v>1</v>
      </c>
      <c r="H555">
        <v>1</v>
      </c>
      <c r="I555" t="s">
        <v>1211</v>
      </c>
      <c r="K555" t="s">
        <v>1243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>
      <c r="A556" t="s">
        <v>1163</v>
      </c>
      <c r="B556" s="2">
        <v>0</v>
      </c>
      <c r="C556" s="2" t="s">
        <v>53</v>
      </c>
      <c r="D556" s="2" t="s">
        <v>33</v>
      </c>
      <c r="E556" s="2">
        <v>100</v>
      </c>
      <c r="F556">
        <v>0</v>
      </c>
      <c r="G556" t="b">
        <v>0</v>
      </c>
      <c r="H556">
        <v>0</v>
      </c>
      <c r="K556" t="s">
        <v>1243</v>
      </c>
      <c r="M556">
        <v>1</v>
      </c>
      <c r="N556">
        <v>0</v>
      </c>
      <c r="O556">
        <v>2</v>
      </c>
      <c r="P556">
        <v>0</v>
      </c>
      <c r="Q556">
        <v>0</v>
      </c>
      <c r="R556">
        <v>0</v>
      </c>
    </row>
    <row r="557" spans="1:18">
      <c r="A557" t="s">
        <v>1070</v>
      </c>
      <c r="B557" s="2">
        <v>0</v>
      </c>
      <c r="C557" s="2" t="s">
        <v>32</v>
      </c>
      <c r="D557" s="2" t="s">
        <v>33</v>
      </c>
      <c r="E557" s="2">
        <v>100</v>
      </c>
      <c r="F557">
        <v>0</v>
      </c>
      <c r="G557" t="b">
        <v>0</v>
      </c>
      <c r="H557">
        <v>0</v>
      </c>
      <c r="K557" t="s">
        <v>1243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>
      <c r="A558" t="s">
        <v>1071</v>
      </c>
      <c r="B558" s="2">
        <v>0</v>
      </c>
      <c r="C558" s="2" t="s">
        <v>32</v>
      </c>
      <c r="D558" s="2" t="s">
        <v>33</v>
      </c>
      <c r="E558" s="2">
        <v>100</v>
      </c>
      <c r="F558">
        <v>0</v>
      </c>
      <c r="G558" t="b">
        <v>0</v>
      </c>
      <c r="H558">
        <v>0</v>
      </c>
      <c r="K558" t="s">
        <v>1243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>
      <c r="A559" t="s">
        <v>76</v>
      </c>
      <c r="B559" s="2">
        <v>0</v>
      </c>
      <c r="C559" s="2" t="s">
        <v>22</v>
      </c>
      <c r="D559" s="2" t="s">
        <v>33</v>
      </c>
      <c r="E559" s="2">
        <v>100</v>
      </c>
      <c r="F559">
        <v>0</v>
      </c>
      <c r="G559" t="b">
        <v>0</v>
      </c>
      <c r="H559">
        <v>0</v>
      </c>
      <c r="K559" t="s">
        <v>1243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2</v>
      </c>
    </row>
    <row r="560" spans="1:18">
      <c r="A560" t="s">
        <v>1072</v>
      </c>
      <c r="B560" s="2">
        <v>0</v>
      </c>
      <c r="C560" s="2" t="s">
        <v>22</v>
      </c>
      <c r="D560" s="2" t="s">
        <v>33</v>
      </c>
      <c r="E560" s="2">
        <v>100</v>
      </c>
      <c r="F560">
        <v>0</v>
      </c>
      <c r="G560" t="b">
        <v>0</v>
      </c>
      <c r="H560">
        <v>1</v>
      </c>
      <c r="K560" t="s">
        <v>1243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>
      <c r="A561" t="s">
        <v>1073</v>
      </c>
      <c r="B561" s="2">
        <v>0</v>
      </c>
      <c r="C561" s="2" t="s">
        <v>22</v>
      </c>
      <c r="D561" s="2" t="s">
        <v>33</v>
      </c>
      <c r="E561" s="2">
        <v>100</v>
      </c>
      <c r="F561">
        <v>0</v>
      </c>
      <c r="G561" t="b">
        <v>0</v>
      </c>
      <c r="H561">
        <v>0</v>
      </c>
      <c r="K561" t="s">
        <v>1243</v>
      </c>
      <c r="M561">
        <v>1</v>
      </c>
      <c r="N561">
        <v>0</v>
      </c>
      <c r="O561">
        <v>0</v>
      </c>
      <c r="P561">
        <v>0</v>
      </c>
      <c r="Q561">
        <v>2</v>
      </c>
      <c r="R561">
        <v>0</v>
      </c>
    </row>
    <row r="562" spans="1:18">
      <c r="A562" t="s">
        <v>114</v>
      </c>
      <c r="B562" s="2">
        <v>0</v>
      </c>
      <c r="C562" s="2" t="s">
        <v>34</v>
      </c>
      <c r="D562" s="2" t="s">
        <v>33</v>
      </c>
      <c r="E562" s="2">
        <v>100</v>
      </c>
      <c r="F562">
        <v>0</v>
      </c>
      <c r="G562" t="b">
        <v>0</v>
      </c>
      <c r="H562">
        <v>0</v>
      </c>
      <c r="K562" t="s">
        <v>1243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>
      <c r="A563" t="s">
        <v>1074</v>
      </c>
      <c r="B563" s="2">
        <v>0</v>
      </c>
      <c r="C563" s="2" t="s">
        <v>43</v>
      </c>
      <c r="D563" s="2" t="s">
        <v>33</v>
      </c>
      <c r="E563" s="2">
        <v>100</v>
      </c>
      <c r="F563">
        <v>0</v>
      </c>
      <c r="G563" t="b">
        <v>0</v>
      </c>
      <c r="H563">
        <v>0</v>
      </c>
      <c r="K563" t="s">
        <v>1243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>
      <c r="A564" t="s">
        <v>806</v>
      </c>
      <c r="B564" s="2">
        <v>0</v>
      </c>
      <c r="C564" s="2" t="s">
        <v>32</v>
      </c>
      <c r="D564" s="2" t="s">
        <v>33</v>
      </c>
      <c r="E564" s="2">
        <v>100</v>
      </c>
      <c r="F564">
        <v>0</v>
      </c>
      <c r="G564" t="b">
        <v>0</v>
      </c>
      <c r="H564">
        <v>0</v>
      </c>
      <c r="K564" t="s">
        <v>1243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>
      <c r="A565" t="s">
        <v>1026</v>
      </c>
      <c r="B565" s="2">
        <v>0</v>
      </c>
      <c r="C565" s="2" t="s">
        <v>40</v>
      </c>
      <c r="D565" s="2" t="s">
        <v>33</v>
      </c>
      <c r="E565" s="2">
        <v>100</v>
      </c>
      <c r="F565">
        <v>0</v>
      </c>
      <c r="G565" t="b">
        <v>0</v>
      </c>
      <c r="H565">
        <v>0</v>
      </c>
      <c r="K565" t="s">
        <v>1243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>
      <c r="A566" t="s">
        <v>1075</v>
      </c>
      <c r="B566" s="2">
        <v>0</v>
      </c>
      <c r="C566" s="2" t="s">
        <v>24</v>
      </c>
      <c r="D566" s="2" t="s">
        <v>33</v>
      </c>
      <c r="E566" s="2">
        <v>100</v>
      </c>
      <c r="F566">
        <v>0</v>
      </c>
      <c r="G566" t="b">
        <v>0</v>
      </c>
      <c r="H566">
        <v>0</v>
      </c>
      <c r="K566" t="s">
        <v>1243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2</v>
      </c>
    </row>
    <row r="567" spans="1:18">
      <c r="A567" t="s">
        <v>1288</v>
      </c>
      <c r="B567" s="2">
        <v>0</v>
      </c>
      <c r="C567" s="2" t="s">
        <v>44</v>
      </c>
      <c r="D567" s="2" t="s">
        <v>33</v>
      </c>
      <c r="E567" s="2">
        <v>100</v>
      </c>
      <c r="F567">
        <v>0</v>
      </c>
      <c r="G567" t="b">
        <v>0</v>
      </c>
      <c r="H567">
        <v>1</v>
      </c>
      <c r="K567" t="s">
        <v>1243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>
      <c r="A568" t="s">
        <v>1076</v>
      </c>
      <c r="B568" s="2">
        <v>0</v>
      </c>
      <c r="C568" s="2" t="s">
        <v>53</v>
      </c>
      <c r="D568" s="2" t="s">
        <v>33</v>
      </c>
      <c r="E568" s="2">
        <v>100</v>
      </c>
      <c r="F568">
        <v>0</v>
      </c>
      <c r="G568" t="b">
        <v>0</v>
      </c>
      <c r="H568">
        <v>4</v>
      </c>
      <c r="K568" t="s">
        <v>1264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>
      <c r="A569" t="s">
        <v>1077</v>
      </c>
      <c r="B569" s="2">
        <v>0</v>
      </c>
      <c r="C569" s="2" t="s">
        <v>32</v>
      </c>
      <c r="D569" s="2" t="s">
        <v>33</v>
      </c>
      <c r="E569" s="2">
        <v>100</v>
      </c>
      <c r="F569">
        <v>0</v>
      </c>
      <c r="G569" t="b">
        <v>0</v>
      </c>
      <c r="H569">
        <v>0</v>
      </c>
      <c r="K569" t="s">
        <v>1243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>
      <c r="A570" t="s">
        <v>1078</v>
      </c>
      <c r="B570" s="2">
        <v>0</v>
      </c>
      <c r="C570" s="2" t="s">
        <v>32</v>
      </c>
      <c r="D570" s="2" t="s">
        <v>33</v>
      </c>
      <c r="E570" s="2">
        <v>100</v>
      </c>
      <c r="F570">
        <v>0</v>
      </c>
      <c r="G570" t="b">
        <v>0</v>
      </c>
      <c r="H570">
        <v>0</v>
      </c>
      <c r="K570" t="s">
        <v>1243</v>
      </c>
      <c r="M570">
        <v>1</v>
      </c>
      <c r="N570">
        <v>6</v>
      </c>
      <c r="O570">
        <v>0</v>
      </c>
      <c r="P570">
        <v>0</v>
      </c>
      <c r="Q570">
        <v>0</v>
      </c>
      <c r="R570">
        <v>0</v>
      </c>
    </row>
    <row r="571" spans="1:18">
      <c r="A571" t="s">
        <v>1079</v>
      </c>
      <c r="B571" s="2">
        <v>0</v>
      </c>
      <c r="C571" s="2" t="s">
        <v>32</v>
      </c>
      <c r="D571" s="2" t="s">
        <v>33</v>
      </c>
      <c r="E571" s="2">
        <v>100</v>
      </c>
      <c r="F571">
        <v>0</v>
      </c>
      <c r="G571" t="b">
        <v>0</v>
      </c>
      <c r="H571">
        <v>0</v>
      </c>
      <c r="K571" t="s">
        <v>1243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>
      <c r="A572" t="s">
        <v>717</v>
      </c>
      <c r="B572" s="2">
        <v>0</v>
      </c>
      <c r="C572" s="2" t="s">
        <v>20</v>
      </c>
      <c r="D572" s="2" t="s">
        <v>33</v>
      </c>
      <c r="E572" s="2">
        <v>100</v>
      </c>
      <c r="F572">
        <v>0</v>
      </c>
      <c r="G572" t="b">
        <v>0</v>
      </c>
      <c r="H572">
        <v>0</v>
      </c>
      <c r="K572" t="s">
        <v>1243</v>
      </c>
      <c r="M572">
        <v>1</v>
      </c>
      <c r="N572">
        <v>1</v>
      </c>
      <c r="O572">
        <v>1</v>
      </c>
      <c r="P572">
        <v>0</v>
      </c>
      <c r="Q572">
        <v>0</v>
      </c>
      <c r="R572">
        <v>0</v>
      </c>
    </row>
    <row r="573" spans="1:18">
      <c r="A573" t="s">
        <v>998</v>
      </c>
      <c r="B573" s="2">
        <v>0</v>
      </c>
      <c r="C573" s="2" t="s">
        <v>22</v>
      </c>
      <c r="D573" s="2" t="s">
        <v>33</v>
      </c>
      <c r="E573" s="2">
        <v>100</v>
      </c>
      <c r="F573">
        <v>0</v>
      </c>
      <c r="G573" t="b">
        <v>0</v>
      </c>
      <c r="H573">
        <v>0</v>
      </c>
      <c r="K573" t="s">
        <v>1243</v>
      </c>
      <c r="M573">
        <v>1</v>
      </c>
      <c r="N573">
        <v>0</v>
      </c>
      <c r="O573">
        <v>0</v>
      </c>
      <c r="P573">
        <v>1</v>
      </c>
      <c r="Q573">
        <v>1</v>
      </c>
      <c r="R573">
        <v>0</v>
      </c>
    </row>
    <row r="574" spans="1:18">
      <c r="A574" t="s">
        <v>1046</v>
      </c>
      <c r="B574" s="2">
        <v>0</v>
      </c>
      <c r="C574" s="2" t="s">
        <v>44</v>
      </c>
      <c r="D574" s="2" t="s">
        <v>33</v>
      </c>
      <c r="E574" s="2">
        <v>100</v>
      </c>
      <c r="F574">
        <v>0</v>
      </c>
      <c r="G574" t="b">
        <v>0</v>
      </c>
      <c r="H574">
        <v>0</v>
      </c>
      <c r="K574" t="s">
        <v>1243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>
      <c r="A575" t="s">
        <v>1164</v>
      </c>
      <c r="B575" s="2">
        <v>0</v>
      </c>
      <c r="C575" s="2" t="s">
        <v>47</v>
      </c>
      <c r="D575" s="2" t="s">
        <v>33</v>
      </c>
      <c r="E575" s="2">
        <v>100</v>
      </c>
      <c r="F575">
        <v>0</v>
      </c>
      <c r="G575" t="b">
        <v>0</v>
      </c>
      <c r="H575">
        <v>0</v>
      </c>
      <c r="K575" t="s">
        <v>1243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</row>
    <row r="576" spans="1:18">
      <c r="A576" t="s">
        <v>1080</v>
      </c>
      <c r="B576" s="2">
        <v>0</v>
      </c>
      <c r="C576" s="2" t="s">
        <v>20</v>
      </c>
      <c r="D576" s="2" t="s">
        <v>33</v>
      </c>
      <c r="E576" s="2">
        <v>100</v>
      </c>
      <c r="F576">
        <v>0</v>
      </c>
      <c r="G576" t="b">
        <v>0</v>
      </c>
      <c r="H576">
        <v>0</v>
      </c>
      <c r="K576" t="s">
        <v>1243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>
      <c r="A577" t="s">
        <v>1081</v>
      </c>
      <c r="B577" s="2">
        <v>0</v>
      </c>
      <c r="C577" s="2" t="s">
        <v>53</v>
      </c>
      <c r="D577" s="2" t="s">
        <v>33</v>
      </c>
      <c r="E577" s="2">
        <v>100</v>
      </c>
      <c r="F577">
        <v>0</v>
      </c>
      <c r="G577" t="b">
        <v>0</v>
      </c>
      <c r="H577">
        <v>0</v>
      </c>
      <c r="K577" t="s">
        <v>1243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0</v>
      </c>
    </row>
    <row r="578" spans="1:18">
      <c r="A578" t="s">
        <v>1082</v>
      </c>
      <c r="B578" s="2">
        <v>0</v>
      </c>
      <c r="C578" s="2" t="s">
        <v>32</v>
      </c>
      <c r="D578" s="2" t="s">
        <v>33</v>
      </c>
      <c r="E578" s="2">
        <v>100</v>
      </c>
      <c r="F578">
        <v>0</v>
      </c>
      <c r="G578" t="b">
        <v>0</v>
      </c>
      <c r="H578">
        <v>0</v>
      </c>
      <c r="K578" t="s">
        <v>1243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>
      <c r="A579" t="s">
        <v>691</v>
      </c>
      <c r="B579" s="2">
        <v>0</v>
      </c>
      <c r="C579" s="2" t="s">
        <v>46</v>
      </c>
      <c r="D579" s="2" t="s">
        <v>33</v>
      </c>
      <c r="E579" s="2">
        <v>100</v>
      </c>
      <c r="F579">
        <v>0</v>
      </c>
      <c r="G579" t="b">
        <v>0</v>
      </c>
      <c r="H579">
        <v>0</v>
      </c>
      <c r="K579" t="s">
        <v>1243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>
      <c r="A580" t="s">
        <v>1165</v>
      </c>
      <c r="B580" s="2">
        <v>0</v>
      </c>
      <c r="C580" s="2" t="s">
        <v>32</v>
      </c>
      <c r="D580" s="2" t="s">
        <v>33</v>
      </c>
      <c r="E580" s="2">
        <v>100</v>
      </c>
      <c r="F580">
        <v>0</v>
      </c>
      <c r="G580" t="b">
        <v>0</v>
      </c>
      <c r="H580">
        <v>0</v>
      </c>
      <c r="K580" t="s">
        <v>1243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>
      <c r="A581" t="s">
        <v>1166</v>
      </c>
      <c r="B581" s="2">
        <v>0</v>
      </c>
      <c r="C581" s="2" t="s">
        <v>32</v>
      </c>
      <c r="D581" s="2" t="s">
        <v>33</v>
      </c>
      <c r="E581" s="2">
        <v>100</v>
      </c>
      <c r="F581">
        <v>0</v>
      </c>
      <c r="G581" t="b">
        <v>0</v>
      </c>
      <c r="H581">
        <v>0</v>
      </c>
      <c r="K581" t="s">
        <v>1243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>
      <c r="A582" t="s">
        <v>1083</v>
      </c>
      <c r="B582" s="2">
        <v>0</v>
      </c>
      <c r="C582" s="2" t="s">
        <v>32</v>
      </c>
      <c r="D582" s="2" t="s">
        <v>33</v>
      </c>
      <c r="E582" s="2">
        <v>100</v>
      </c>
      <c r="F582">
        <v>0</v>
      </c>
      <c r="G582" t="b">
        <v>0</v>
      </c>
      <c r="H582">
        <v>0</v>
      </c>
      <c r="K582" t="s">
        <v>1243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>
      <c r="A583" t="s">
        <v>1084</v>
      </c>
      <c r="B583" s="2">
        <v>0</v>
      </c>
      <c r="C583" s="2" t="s">
        <v>53</v>
      </c>
      <c r="D583" s="2" t="s">
        <v>33</v>
      </c>
      <c r="E583" s="2">
        <v>100</v>
      </c>
      <c r="F583">
        <v>0</v>
      </c>
      <c r="G583" t="b">
        <v>0</v>
      </c>
      <c r="H583">
        <v>0</v>
      </c>
      <c r="K583" t="s">
        <v>1243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>
      <c r="A584" t="s">
        <v>1051</v>
      </c>
      <c r="B584" s="2">
        <v>0</v>
      </c>
      <c r="C584" s="2" t="s">
        <v>22</v>
      </c>
      <c r="D584" s="2" t="s">
        <v>33</v>
      </c>
      <c r="E584" s="2">
        <v>100</v>
      </c>
      <c r="F584">
        <v>0</v>
      </c>
      <c r="G584" t="b">
        <v>0</v>
      </c>
      <c r="H584">
        <v>0</v>
      </c>
      <c r="K584" t="s">
        <v>1243</v>
      </c>
      <c r="M584">
        <v>1</v>
      </c>
      <c r="N584">
        <v>0</v>
      </c>
      <c r="O584">
        <v>1</v>
      </c>
      <c r="P584">
        <v>0</v>
      </c>
      <c r="Q584">
        <v>1</v>
      </c>
      <c r="R584">
        <v>0</v>
      </c>
    </row>
    <row r="585" spans="1:18">
      <c r="A585" t="s">
        <v>718</v>
      </c>
      <c r="B585" s="2">
        <v>0</v>
      </c>
      <c r="C585" s="2" t="s">
        <v>43</v>
      </c>
      <c r="D585" s="2" t="s">
        <v>33</v>
      </c>
      <c r="E585" s="2">
        <v>100</v>
      </c>
      <c r="F585">
        <v>0</v>
      </c>
      <c r="G585" t="b">
        <v>0</v>
      </c>
      <c r="H585">
        <v>0</v>
      </c>
      <c r="K585" t="s">
        <v>1243</v>
      </c>
      <c r="M585">
        <v>1</v>
      </c>
      <c r="N585">
        <v>0</v>
      </c>
      <c r="O585">
        <v>3</v>
      </c>
      <c r="P585">
        <v>0</v>
      </c>
      <c r="Q585">
        <v>0</v>
      </c>
      <c r="R585">
        <v>0</v>
      </c>
    </row>
    <row r="586" spans="1:18">
      <c r="A586" t="s">
        <v>1039</v>
      </c>
      <c r="B586" s="2">
        <v>0</v>
      </c>
      <c r="C586" s="2" t="s">
        <v>43</v>
      </c>
      <c r="D586" s="2" t="s">
        <v>33</v>
      </c>
      <c r="E586" s="2">
        <v>100</v>
      </c>
      <c r="F586">
        <v>0</v>
      </c>
      <c r="G586" t="b">
        <v>0</v>
      </c>
      <c r="H586">
        <v>0</v>
      </c>
      <c r="K586" t="s">
        <v>1243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>
      <c r="A587" t="s">
        <v>1085</v>
      </c>
      <c r="B587" s="2">
        <v>0</v>
      </c>
      <c r="C587" s="2" t="s">
        <v>32</v>
      </c>
      <c r="D587" s="2" t="s">
        <v>33</v>
      </c>
      <c r="E587" s="2">
        <v>100</v>
      </c>
      <c r="F587">
        <v>0</v>
      </c>
      <c r="G587" t="b">
        <v>0</v>
      </c>
      <c r="H587">
        <v>0</v>
      </c>
      <c r="K587" t="s">
        <v>1243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>
      <c r="A588" t="s">
        <v>1086</v>
      </c>
      <c r="B588" s="2">
        <v>0</v>
      </c>
      <c r="C588" s="2" t="s">
        <v>44</v>
      </c>
      <c r="D588" s="2" t="s">
        <v>33</v>
      </c>
      <c r="E588" s="2">
        <v>100</v>
      </c>
      <c r="F588">
        <v>0</v>
      </c>
      <c r="G588" t="b">
        <v>0</v>
      </c>
      <c r="H588">
        <v>3</v>
      </c>
      <c r="K588" t="s">
        <v>1243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>
      <c r="A589" t="s">
        <v>702</v>
      </c>
      <c r="B589" s="2">
        <v>0</v>
      </c>
      <c r="C589" s="2" t="s">
        <v>46</v>
      </c>
      <c r="D589" s="2" t="s">
        <v>33</v>
      </c>
      <c r="E589" s="2">
        <v>100</v>
      </c>
      <c r="F589">
        <v>0</v>
      </c>
      <c r="G589" t="b">
        <v>0</v>
      </c>
      <c r="H589">
        <v>0</v>
      </c>
      <c r="K589" t="s">
        <v>1243</v>
      </c>
      <c r="M589">
        <v>1</v>
      </c>
      <c r="N589">
        <v>1</v>
      </c>
      <c r="O589">
        <v>1</v>
      </c>
      <c r="P589">
        <v>0</v>
      </c>
      <c r="Q589">
        <v>0</v>
      </c>
      <c r="R589">
        <v>-1</v>
      </c>
    </row>
    <row r="590" spans="1:18">
      <c r="A590" t="s">
        <v>1167</v>
      </c>
      <c r="B590" s="2">
        <v>0</v>
      </c>
      <c r="C590" s="2" t="s">
        <v>38</v>
      </c>
      <c r="D590" s="2" t="s">
        <v>33</v>
      </c>
      <c r="E590" s="2">
        <v>50</v>
      </c>
      <c r="F590">
        <v>0</v>
      </c>
      <c r="G590" t="b">
        <v>0</v>
      </c>
      <c r="H590">
        <v>0</v>
      </c>
      <c r="K590" t="s">
        <v>1243</v>
      </c>
      <c r="L590" t="s">
        <v>1301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>
      <c r="A591" t="s">
        <v>1168</v>
      </c>
      <c r="B591" s="2">
        <v>0</v>
      </c>
      <c r="C591" s="2" t="s">
        <v>44</v>
      </c>
      <c r="D591" s="2" t="s">
        <v>33</v>
      </c>
      <c r="E591" s="2">
        <v>100</v>
      </c>
      <c r="F591">
        <v>0</v>
      </c>
      <c r="G591" t="b">
        <v>0</v>
      </c>
      <c r="H591">
        <v>0</v>
      </c>
      <c r="K591" t="s">
        <v>1243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>
      <c r="A592" t="s">
        <v>1087</v>
      </c>
      <c r="B592" s="2">
        <v>0</v>
      </c>
      <c r="C592" s="2" t="s">
        <v>21</v>
      </c>
      <c r="D592" s="2" t="s">
        <v>33</v>
      </c>
      <c r="E592" s="2">
        <v>100</v>
      </c>
      <c r="F592">
        <v>0</v>
      </c>
      <c r="G592" t="b">
        <v>0</v>
      </c>
      <c r="H592">
        <v>0</v>
      </c>
      <c r="K592" t="s">
        <v>1243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>
      <c r="A593" t="s">
        <v>681</v>
      </c>
      <c r="B593" s="2">
        <v>0</v>
      </c>
      <c r="C593" s="2" t="s">
        <v>32</v>
      </c>
      <c r="D593" s="2" t="s">
        <v>33</v>
      </c>
      <c r="E593" s="2">
        <v>100</v>
      </c>
      <c r="F593">
        <v>0</v>
      </c>
      <c r="G593" t="b">
        <v>0</v>
      </c>
      <c r="H593">
        <v>0</v>
      </c>
      <c r="K593" t="s">
        <v>1243</v>
      </c>
      <c r="M593">
        <v>1</v>
      </c>
      <c r="N593">
        <v>0</v>
      </c>
      <c r="O593">
        <v>1</v>
      </c>
      <c r="P593">
        <v>0</v>
      </c>
      <c r="Q593">
        <v>0</v>
      </c>
      <c r="R593">
        <v>0</v>
      </c>
    </row>
    <row r="594" spans="1:18">
      <c r="A594" t="s">
        <v>1088</v>
      </c>
      <c r="B594" s="2">
        <v>0</v>
      </c>
      <c r="C594" s="2" t="s">
        <v>46</v>
      </c>
      <c r="D594" s="2" t="s">
        <v>33</v>
      </c>
      <c r="E594" s="2">
        <v>100</v>
      </c>
      <c r="F594">
        <v>0</v>
      </c>
      <c r="G594" t="b">
        <v>0</v>
      </c>
      <c r="H594">
        <v>0</v>
      </c>
      <c r="K594" t="s">
        <v>1243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>
      <c r="A595" t="s">
        <v>709</v>
      </c>
      <c r="B595" s="2">
        <v>0</v>
      </c>
      <c r="C595" s="2" t="s">
        <v>20</v>
      </c>
      <c r="D595" s="2" t="s">
        <v>33</v>
      </c>
      <c r="E595" s="2">
        <v>100</v>
      </c>
      <c r="F595">
        <v>0</v>
      </c>
      <c r="G595" t="b">
        <v>0</v>
      </c>
      <c r="H595">
        <v>4</v>
      </c>
      <c r="K595" t="s">
        <v>1243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>
      <c r="A596" t="s">
        <v>1023</v>
      </c>
      <c r="B596" s="2">
        <v>0</v>
      </c>
      <c r="C596" s="2" t="s">
        <v>32</v>
      </c>
      <c r="D596" s="2" t="s">
        <v>33</v>
      </c>
      <c r="E596" s="2">
        <v>100</v>
      </c>
      <c r="F596">
        <v>0</v>
      </c>
      <c r="G596" t="b">
        <v>0</v>
      </c>
      <c r="H596">
        <v>0</v>
      </c>
      <c r="K596" t="s">
        <v>1243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>
      <c r="A597" t="s">
        <v>804</v>
      </c>
      <c r="B597" s="2">
        <v>0</v>
      </c>
      <c r="C597" s="2" t="s">
        <v>32</v>
      </c>
      <c r="D597" s="2" t="s">
        <v>33</v>
      </c>
      <c r="E597" s="2">
        <v>100</v>
      </c>
      <c r="F597">
        <v>0</v>
      </c>
      <c r="G597" t="b">
        <v>0</v>
      </c>
      <c r="H597">
        <v>0</v>
      </c>
      <c r="K597" t="s">
        <v>1243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>
      <c r="A598" t="s">
        <v>1089</v>
      </c>
      <c r="B598" s="2">
        <v>0</v>
      </c>
      <c r="C598" s="2" t="s">
        <v>47</v>
      </c>
      <c r="D598" s="2" t="s">
        <v>33</v>
      </c>
      <c r="E598" s="2">
        <v>100</v>
      </c>
      <c r="F598">
        <v>0</v>
      </c>
      <c r="G598" t="b">
        <v>0</v>
      </c>
      <c r="H598">
        <v>0</v>
      </c>
      <c r="K598" t="s">
        <v>1243</v>
      </c>
      <c r="M598">
        <v>1</v>
      </c>
      <c r="N598">
        <v>1</v>
      </c>
      <c r="O598">
        <v>0</v>
      </c>
      <c r="P598">
        <v>0</v>
      </c>
      <c r="Q598">
        <v>0</v>
      </c>
      <c r="R598">
        <v>1</v>
      </c>
    </row>
    <row r="599" spans="1:18">
      <c r="A599" t="s">
        <v>1169</v>
      </c>
      <c r="B599" s="2">
        <v>0</v>
      </c>
      <c r="C599" s="2" t="s">
        <v>41</v>
      </c>
      <c r="D599" s="2" t="s">
        <v>33</v>
      </c>
      <c r="E599" s="2">
        <v>100</v>
      </c>
      <c r="F599">
        <v>0</v>
      </c>
      <c r="G599" t="b">
        <v>0</v>
      </c>
      <c r="H599">
        <v>0</v>
      </c>
      <c r="K599" t="s">
        <v>1243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>
      <c r="A600" t="s">
        <v>1090</v>
      </c>
      <c r="B600" s="2">
        <v>0</v>
      </c>
      <c r="C600" s="2" t="s">
        <v>32</v>
      </c>
      <c r="D600" s="2" t="s">
        <v>33</v>
      </c>
      <c r="E600" s="2">
        <v>100</v>
      </c>
      <c r="F600">
        <v>0</v>
      </c>
      <c r="G600" t="b">
        <v>0</v>
      </c>
      <c r="H600">
        <v>0</v>
      </c>
      <c r="K600" t="s">
        <v>1243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>
      <c r="A601" t="s">
        <v>1091</v>
      </c>
      <c r="B601" s="2">
        <v>0</v>
      </c>
      <c r="C601" s="2" t="s">
        <v>32</v>
      </c>
      <c r="D601" s="2" t="s">
        <v>33</v>
      </c>
      <c r="E601" s="2">
        <v>100</v>
      </c>
      <c r="F601">
        <v>0</v>
      </c>
      <c r="G601" t="b">
        <v>0</v>
      </c>
      <c r="H601">
        <v>4</v>
      </c>
      <c r="K601" t="s">
        <v>1243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>
      <c r="A602" t="s">
        <v>1092</v>
      </c>
      <c r="B602" s="2">
        <v>0</v>
      </c>
      <c r="C602" s="2" t="s">
        <v>32</v>
      </c>
      <c r="D602" s="2" t="s">
        <v>33</v>
      </c>
      <c r="E602" s="2">
        <v>100</v>
      </c>
      <c r="F602">
        <v>0</v>
      </c>
      <c r="G602" t="b">
        <v>0</v>
      </c>
      <c r="H602">
        <v>0</v>
      </c>
      <c r="K602" t="s">
        <v>1243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>
      <c r="A603" t="s">
        <v>1170</v>
      </c>
      <c r="B603" s="2">
        <v>0</v>
      </c>
      <c r="C603" s="2" t="s">
        <v>44</v>
      </c>
      <c r="D603" s="2" t="s">
        <v>33</v>
      </c>
      <c r="E603" s="2">
        <v>100</v>
      </c>
      <c r="F603">
        <v>0</v>
      </c>
      <c r="G603" t="b">
        <v>0</v>
      </c>
      <c r="H603">
        <v>0</v>
      </c>
      <c r="K603" t="s">
        <v>1243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>
      <c r="A604" t="s">
        <v>995</v>
      </c>
      <c r="B604" s="2">
        <v>0</v>
      </c>
      <c r="C604" s="2" t="s">
        <v>38</v>
      </c>
      <c r="D604" s="2" t="s">
        <v>33</v>
      </c>
      <c r="E604" s="2">
        <v>100</v>
      </c>
      <c r="F604">
        <v>0</v>
      </c>
      <c r="G604" t="b">
        <v>0</v>
      </c>
      <c r="H604">
        <v>0</v>
      </c>
      <c r="K604" t="s">
        <v>1243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>
      <c r="A605" t="s">
        <v>1093</v>
      </c>
      <c r="B605" s="2">
        <v>0</v>
      </c>
      <c r="C605" s="2" t="s">
        <v>35</v>
      </c>
      <c r="D605" s="2" t="s">
        <v>33</v>
      </c>
      <c r="E605" s="2">
        <v>100</v>
      </c>
      <c r="F605">
        <v>0</v>
      </c>
      <c r="G605" t="b">
        <v>0</v>
      </c>
      <c r="H605">
        <v>0</v>
      </c>
      <c r="K605" t="s">
        <v>1243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>
      <c r="A606" t="s">
        <v>1045</v>
      </c>
      <c r="B606" s="2">
        <v>0</v>
      </c>
      <c r="C606" s="2" t="s">
        <v>38</v>
      </c>
      <c r="D606" s="2" t="s">
        <v>33</v>
      </c>
      <c r="E606" s="2">
        <v>100</v>
      </c>
      <c r="F606">
        <v>0</v>
      </c>
      <c r="G606" t="b">
        <v>0</v>
      </c>
      <c r="H606">
        <v>0</v>
      </c>
      <c r="K606" t="s">
        <v>1243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>
      <c r="A607" t="s">
        <v>1171</v>
      </c>
      <c r="B607" s="2">
        <v>0</v>
      </c>
      <c r="C607" s="2" t="s">
        <v>44</v>
      </c>
      <c r="D607" s="2" t="s">
        <v>33</v>
      </c>
      <c r="E607" s="2">
        <v>100</v>
      </c>
      <c r="F607">
        <v>0</v>
      </c>
      <c r="G607" t="b">
        <v>0</v>
      </c>
      <c r="H607">
        <v>0</v>
      </c>
      <c r="K607" t="s">
        <v>1243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>
      <c r="A608" t="s">
        <v>1172</v>
      </c>
      <c r="B608" s="2">
        <v>0</v>
      </c>
      <c r="C608" s="2" t="s">
        <v>44</v>
      </c>
      <c r="D608" s="2" t="s">
        <v>33</v>
      </c>
      <c r="E608" s="2">
        <v>100</v>
      </c>
      <c r="F608">
        <v>0</v>
      </c>
      <c r="G608" t="b">
        <v>0</v>
      </c>
      <c r="H608">
        <v>0</v>
      </c>
      <c r="K608" t="s">
        <v>1243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>
      <c r="A609" t="s">
        <v>1173</v>
      </c>
      <c r="B609" s="2">
        <v>0</v>
      </c>
      <c r="C609" s="2" t="s">
        <v>32</v>
      </c>
      <c r="D609" s="2" t="s">
        <v>33</v>
      </c>
      <c r="E609" s="2">
        <v>100</v>
      </c>
      <c r="F609">
        <v>0</v>
      </c>
      <c r="G609" t="b">
        <v>0</v>
      </c>
      <c r="H609">
        <v>0</v>
      </c>
      <c r="K609" t="s">
        <v>1243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>
      <c r="A610" t="s">
        <v>1094</v>
      </c>
      <c r="B610" s="2">
        <v>0</v>
      </c>
      <c r="C610" s="2" t="s">
        <v>43</v>
      </c>
      <c r="D610" s="2" t="s">
        <v>33</v>
      </c>
      <c r="E610" s="2">
        <v>100</v>
      </c>
      <c r="F610">
        <v>0</v>
      </c>
      <c r="G610" t="b">
        <v>0</v>
      </c>
      <c r="H610">
        <v>0</v>
      </c>
      <c r="K610" t="s">
        <v>1243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>
      <c r="A611" t="s">
        <v>1095</v>
      </c>
      <c r="B611" s="2">
        <v>0</v>
      </c>
      <c r="C611" s="2" t="s">
        <v>53</v>
      </c>
      <c r="D611" s="2" t="s">
        <v>33</v>
      </c>
      <c r="E611" s="2">
        <v>100</v>
      </c>
      <c r="F611">
        <v>0</v>
      </c>
      <c r="G611" t="b">
        <v>0</v>
      </c>
      <c r="H611">
        <v>0</v>
      </c>
      <c r="K611" t="s">
        <v>1243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>
      <c r="A612" t="s">
        <v>1174</v>
      </c>
      <c r="B612" s="2">
        <v>0</v>
      </c>
      <c r="C612" s="2" t="s">
        <v>24</v>
      </c>
      <c r="D612" s="2" t="s">
        <v>33</v>
      </c>
      <c r="E612" s="2">
        <v>100</v>
      </c>
      <c r="F612">
        <v>0</v>
      </c>
      <c r="G612" t="b">
        <v>0</v>
      </c>
      <c r="H612">
        <v>0</v>
      </c>
      <c r="K612" t="s">
        <v>1243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>
      <c r="A613" t="s">
        <v>685</v>
      </c>
      <c r="B613" s="2">
        <v>0</v>
      </c>
      <c r="C613" s="2" t="s">
        <v>32</v>
      </c>
      <c r="D613" s="2" t="s">
        <v>33</v>
      </c>
      <c r="E613" s="2">
        <v>100</v>
      </c>
      <c r="F613">
        <v>0</v>
      </c>
      <c r="G613" t="b">
        <v>0</v>
      </c>
      <c r="H613">
        <v>0</v>
      </c>
      <c r="K613" t="s">
        <v>1243</v>
      </c>
      <c r="L613" t="s">
        <v>1300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>
      <c r="A614" t="s">
        <v>1175</v>
      </c>
      <c r="B614" s="2">
        <v>0</v>
      </c>
      <c r="C614" s="2" t="s">
        <v>43</v>
      </c>
      <c r="D614" s="2" t="s">
        <v>33</v>
      </c>
      <c r="E614" s="2">
        <v>100</v>
      </c>
      <c r="F614">
        <v>0</v>
      </c>
      <c r="G614" t="b">
        <v>0</v>
      </c>
      <c r="H614">
        <v>0</v>
      </c>
      <c r="K614" t="s">
        <v>1243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>
      <c r="A615" t="s">
        <v>1096</v>
      </c>
      <c r="B615" s="2">
        <v>0</v>
      </c>
      <c r="C615" s="2" t="s">
        <v>22</v>
      </c>
      <c r="D615" s="2" t="s">
        <v>33</v>
      </c>
      <c r="E615" s="2">
        <v>100</v>
      </c>
      <c r="F615">
        <v>0</v>
      </c>
      <c r="G615" t="b">
        <v>0</v>
      </c>
      <c r="H615">
        <v>0</v>
      </c>
      <c r="K615" t="s">
        <v>1243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>
      <c r="A616" t="s">
        <v>98</v>
      </c>
      <c r="B616" s="2">
        <v>0</v>
      </c>
      <c r="C616" s="2" t="s">
        <v>32</v>
      </c>
      <c r="D616" s="2" t="s">
        <v>33</v>
      </c>
      <c r="E616" s="2">
        <v>100</v>
      </c>
      <c r="F616">
        <v>0</v>
      </c>
      <c r="G616" t="b">
        <v>0</v>
      </c>
      <c r="H616">
        <v>0</v>
      </c>
      <c r="K616" t="s">
        <v>1243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>
      <c r="A617" t="s">
        <v>1097</v>
      </c>
      <c r="B617" s="2">
        <v>0</v>
      </c>
      <c r="C617" s="2" t="s">
        <v>32</v>
      </c>
      <c r="D617" s="2" t="s">
        <v>33</v>
      </c>
      <c r="E617" s="2">
        <v>100</v>
      </c>
      <c r="F617">
        <v>0</v>
      </c>
      <c r="G617" t="b">
        <v>0</v>
      </c>
      <c r="H617">
        <v>0</v>
      </c>
      <c r="K617" t="s">
        <v>1243</v>
      </c>
      <c r="M617">
        <v>1</v>
      </c>
      <c r="N617">
        <v>1</v>
      </c>
      <c r="O617">
        <v>0</v>
      </c>
      <c r="P617">
        <v>1</v>
      </c>
      <c r="Q617">
        <v>0</v>
      </c>
      <c r="R617">
        <v>0</v>
      </c>
    </row>
    <row r="618" spans="1:18">
      <c r="A618" t="s">
        <v>1098</v>
      </c>
      <c r="B618" s="2">
        <v>0</v>
      </c>
      <c r="C618" s="2" t="s">
        <v>46</v>
      </c>
      <c r="D618" s="2" t="s">
        <v>33</v>
      </c>
      <c r="E618" s="2">
        <v>100</v>
      </c>
      <c r="F618">
        <v>0</v>
      </c>
      <c r="G618" t="b">
        <v>0</v>
      </c>
      <c r="H618">
        <v>0</v>
      </c>
      <c r="K618" t="s">
        <v>1243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>
      <c r="A619" t="s">
        <v>1099</v>
      </c>
      <c r="B619" s="2">
        <v>0</v>
      </c>
      <c r="C619" s="2" t="s">
        <v>22</v>
      </c>
      <c r="D619" s="2" t="s">
        <v>33</v>
      </c>
      <c r="E619" s="2">
        <v>100</v>
      </c>
      <c r="F619">
        <v>0</v>
      </c>
      <c r="G619" t="b">
        <v>0</v>
      </c>
      <c r="H619">
        <v>0</v>
      </c>
      <c r="K619" t="s">
        <v>1243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 t="s">
        <v>1100</v>
      </c>
      <c r="B620" s="2">
        <v>0</v>
      </c>
      <c r="C620" s="2" t="s">
        <v>22</v>
      </c>
      <c r="D620" s="2" t="s">
        <v>33</v>
      </c>
      <c r="E620" s="2">
        <v>100</v>
      </c>
      <c r="F620">
        <v>0</v>
      </c>
      <c r="G620" t="b">
        <v>0</v>
      </c>
      <c r="H620">
        <v>0</v>
      </c>
      <c r="K620" t="s">
        <v>1243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>
      <c r="A621" t="s">
        <v>1101</v>
      </c>
      <c r="B621" s="2">
        <v>0</v>
      </c>
      <c r="C621" s="2" t="s">
        <v>40</v>
      </c>
      <c r="D621" s="2" t="s">
        <v>33</v>
      </c>
      <c r="E621" s="2">
        <v>100</v>
      </c>
      <c r="F621">
        <v>0</v>
      </c>
      <c r="G621" t="b">
        <v>0</v>
      </c>
      <c r="H621">
        <v>0</v>
      </c>
      <c r="K621" t="s">
        <v>1243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>
      <c r="A622" t="s">
        <v>1102</v>
      </c>
      <c r="B622" s="2">
        <v>0</v>
      </c>
      <c r="C622" s="2" t="s">
        <v>32</v>
      </c>
      <c r="D622" s="2" t="s">
        <v>33</v>
      </c>
      <c r="E622" s="2">
        <v>100</v>
      </c>
      <c r="F622">
        <v>0</v>
      </c>
      <c r="G622" t="b">
        <v>0</v>
      </c>
      <c r="H622">
        <v>0</v>
      </c>
      <c r="K622" t="s">
        <v>1243</v>
      </c>
      <c r="M622">
        <v>1</v>
      </c>
      <c r="N622">
        <v>0</v>
      </c>
      <c r="O622">
        <v>1</v>
      </c>
      <c r="P622">
        <v>0</v>
      </c>
      <c r="Q622">
        <v>0</v>
      </c>
      <c r="R622">
        <v>0</v>
      </c>
    </row>
    <row r="623" spans="1:18">
      <c r="A623" t="s">
        <v>1103</v>
      </c>
      <c r="B623" s="2">
        <v>0</v>
      </c>
      <c r="C623" s="2" t="s">
        <v>40</v>
      </c>
      <c r="D623" s="2" t="s">
        <v>33</v>
      </c>
      <c r="E623" s="2">
        <v>100</v>
      </c>
      <c r="F623">
        <v>0</v>
      </c>
      <c r="G623" t="b">
        <v>0</v>
      </c>
      <c r="H623">
        <v>0</v>
      </c>
      <c r="K623" t="s">
        <v>1243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>
      <c r="A624" t="s">
        <v>1104</v>
      </c>
      <c r="B624" s="2">
        <v>0</v>
      </c>
      <c r="C624" s="2" t="s">
        <v>32</v>
      </c>
      <c r="D624" s="2" t="s">
        <v>33</v>
      </c>
      <c r="E624" s="2">
        <v>100</v>
      </c>
      <c r="F624">
        <v>0</v>
      </c>
      <c r="G624" t="b">
        <v>0</v>
      </c>
      <c r="H624">
        <v>0</v>
      </c>
      <c r="K624" t="s">
        <v>1243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>
      <c r="A625" t="s">
        <v>1105</v>
      </c>
      <c r="B625" s="2">
        <v>0</v>
      </c>
      <c r="C625" s="2" t="s">
        <v>22</v>
      </c>
      <c r="D625" s="2" t="s">
        <v>33</v>
      </c>
      <c r="E625" s="2">
        <v>100</v>
      </c>
      <c r="F625">
        <v>0</v>
      </c>
      <c r="G625" t="b">
        <v>0</v>
      </c>
      <c r="H625">
        <v>0</v>
      </c>
      <c r="K625" t="s">
        <v>1243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>
      <c r="A626" t="s">
        <v>1176</v>
      </c>
      <c r="B626" s="2">
        <v>0</v>
      </c>
      <c r="C626" s="2" t="s">
        <v>22</v>
      </c>
      <c r="D626" s="2" t="s">
        <v>33</v>
      </c>
      <c r="E626" s="2">
        <v>100</v>
      </c>
      <c r="F626">
        <v>0</v>
      </c>
      <c r="G626" t="b">
        <v>0</v>
      </c>
      <c r="H626">
        <v>0</v>
      </c>
      <c r="K626" t="s">
        <v>1243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>
      <c r="A627" t="s">
        <v>1106</v>
      </c>
      <c r="B627" s="2">
        <v>0</v>
      </c>
      <c r="C627" s="2" t="s">
        <v>38</v>
      </c>
      <c r="D627" s="2" t="s">
        <v>33</v>
      </c>
      <c r="E627" s="2">
        <v>100</v>
      </c>
      <c r="F627">
        <v>0</v>
      </c>
      <c r="G627" t="b">
        <v>0</v>
      </c>
      <c r="H627">
        <v>0</v>
      </c>
      <c r="K627" t="s">
        <v>1243</v>
      </c>
      <c r="M627">
        <v>1</v>
      </c>
      <c r="N627">
        <v>1</v>
      </c>
      <c r="O627">
        <v>0</v>
      </c>
      <c r="P627">
        <v>0</v>
      </c>
      <c r="Q627">
        <v>0</v>
      </c>
      <c r="R627">
        <v>0</v>
      </c>
    </row>
    <row r="628" spans="1:18">
      <c r="A628" t="s">
        <v>1107</v>
      </c>
      <c r="B628" s="2">
        <v>0</v>
      </c>
      <c r="C628" s="2" t="s">
        <v>32</v>
      </c>
      <c r="D628" s="2" t="s">
        <v>33</v>
      </c>
      <c r="E628" s="2">
        <v>100</v>
      </c>
      <c r="F628">
        <v>0</v>
      </c>
      <c r="G628" t="b">
        <v>0</v>
      </c>
      <c r="H628">
        <v>0</v>
      </c>
      <c r="K628" t="s">
        <v>1243</v>
      </c>
      <c r="M628">
        <v>1</v>
      </c>
      <c r="N628">
        <v>1</v>
      </c>
      <c r="O628">
        <v>0</v>
      </c>
      <c r="P628">
        <v>0</v>
      </c>
      <c r="Q628">
        <v>0</v>
      </c>
      <c r="R628">
        <v>0</v>
      </c>
    </row>
    <row r="629" spans="1:18">
      <c r="A629" t="s">
        <v>1108</v>
      </c>
      <c r="B629" s="2">
        <v>0</v>
      </c>
      <c r="C629" s="2" t="s">
        <v>22</v>
      </c>
      <c r="D629" s="2" t="s">
        <v>33</v>
      </c>
      <c r="E629" s="2">
        <v>60</v>
      </c>
      <c r="F629">
        <v>0</v>
      </c>
      <c r="G629" t="b">
        <v>0</v>
      </c>
      <c r="H629">
        <v>0</v>
      </c>
      <c r="K629" t="s">
        <v>1243</v>
      </c>
      <c r="L629" t="s">
        <v>1301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>
      <c r="A630" t="s">
        <v>1109</v>
      </c>
      <c r="B630" s="2">
        <v>0</v>
      </c>
      <c r="C630" s="2" t="s">
        <v>22</v>
      </c>
      <c r="D630" s="2" t="s">
        <v>33</v>
      </c>
      <c r="E630" s="2">
        <v>100</v>
      </c>
      <c r="F630">
        <v>0</v>
      </c>
      <c r="G630" t="b">
        <v>0</v>
      </c>
      <c r="H630">
        <v>0</v>
      </c>
      <c r="K630" t="s">
        <v>1243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 t="s">
        <v>1177</v>
      </c>
      <c r="B631" s="2">
        <v>0</v>
      </c>
      <c r="C631" s="2" t="s">
        <v>22</v>
      </c>
      <c r="D631" s="2" t="s">
        <v>33</v>
      </c>
      <c r="E631" s="2">
        <v>100</v>
      </c>
      <c r="F631">
        <v>0</v>
      </c>
      <c r="G631" t="b">
        <v>0</v>
      </c>
      <c r="H631">
        <v>0</v>
      </c>
      <c r="K631" t="s">
        <v>1243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>
      <c r="A632" t="s">
        <v>748</v>
      </c>
      <c r="B632" s="2">
        <v>0</v>
      </c>
      <c r="C632" s="2" t="s">
        <v>24</v>
      </c>
      <c r="D632" s="2" t="s">
        <v>33</v>
      </c>
      <c r="E632" s="2">
        <v>100</v>
      </c>
      <c r="F632">
        <v>0</v>
      </c>
      <c r="G632" t="b">
        <v>0</v>
      </c>
      <c r="H632">
        <v>0</v>
      </c>
      <c r="K632" t="s">
        <v>1243</v>
      </c>
      <c r="M632">
        <v>1</v>
      </c>
      <c r="N632">
        <v>0</v>
      </c>
      <c r="O632">
        <v>2</v>
      </c>
      <c r="P632">
        <v>0</v>
      </c>
      <c r="Q632">
        <v>0</v>
      </c>
      <c r="R632">
        <v>0</v>
      </c>
    </row>
    <row r="633" spans="1:18">
      <c r="A633" t="s">
        <v>1178</v>
      </c>
      <c r="B633" s="2">
        <v>0</v>
      </c>
      <c r="C633" s="2" t="s">
        <v>43</v>
      </c>
      <c r="D633" s="2" t="s">
        <v>33</v>
      </c>
      <c r="E633" s="2">
        <v>100</v>
      </c>
      <c r="F633">
        <v>0</v>
      </c>
      <c r="G633" t="b">
        <v>0</v>
      </c>
      <c r="H633">
        <v>0</v>
      </c>
      <c r="K633" t="s">
        <v>1243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>
      <c r="A634" t="s">
        <v>1179</v>
      </c>
      <c r="B634" s="2">
        <v>0</v>
      </c>
      <c r="C634" s="2" t="s">
        <v>22</v>
      </c>
      <c r="D634" s="2" t="s">
        <v>33</v>
      </c>
      <c r="E634" s="2">
        <v>80</v>
      </c>
      <c r="F634">
        <v>0</v>
      </c>
      <c r="G634" t="b">
        <v>0</v>
      </c>
      <c r="H634">
        <v>0</v>
      </c>
      <c r="K634" t="s">
        <v>1243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>
      <c r="A635" t="s">
        <v>780</v>
      </c>
      <c r="B635" s="2">
        <v>0</v>
      </c>
      <c r="C635" s="2" t="s">
        <v>24</v>
      </c>
      <c r="D635" s="2" t="s">
        <v>33</v>
      </c>
      <c r="E635" s="2">
        <v>100</v>
      </c>
      <c r="F635">
        <v>0</v>
      </c>
      <c r="G635" t="b">
        <v>0</v>
      </c>
      <c r="H635">
        <v>4</v>
      </c>
      <c r="K635" t="s">
        <v>1264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>
      <c r="A636" t="s">
        <v>1110</v>
      </c>
      <c r="B636" s="2">
        <v>0</v>
      </c>
      <c r="C636" s="2" t="s">
        <v>32</v>
      </c>
      <c r="D636" s="2" t="s">
        <v>33</v>
      </c>
      <c r="E636" s="2">
        <v>100</v>
      </c>
      <c r="F636">
        <v>0</v>
      </c>
      <c r="G636" t="b">
        <v>0</v>
      </c>
      <c r="H636">
        <v>0</v>
      </c>
      <c r="K636" t="s">
        <v>1243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>
      <c r="A637" t="s">
        <v>1180</v>
      </c>
      <c r="B637" s="2">
        <v>0</v>
      </c>
      <c r="C637" s="2" t="s">
        <v>43</v>
      </c>
      <c r="D637" s="2" t="s">
        <v>33</v>
      </c>
      <c r="E637" s="2">
        <v>90</v>
      </c>
      <c r="F637">
        <v>0</v>
      </c>
      <c r="G637" t="b">
        <v>0</v>
      </c>
      <c r="H637">
        <v>0</v>
      </c>
      <c r="K637" t="s">
        <v>1243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>
      <c r="A638" t="s">
        <v>676</v>
      </c>
      <c r="B638" s="2">
        <v>0</v>
      </c>
      <c r="C638" s="2" t="s">
        <v>32</v>
      </c>
      <c r="D638" s="2" t="s">
        <v>33</v>
      </c>
      <c r="E638" s="2">
        <v>100</v>
      </c>
      <c r="F638">
        <v>0</v>
      </c>
      <c r="G638" t="b">
        <v>0</v>
      </c>
      <c r="H638">
        <v>0</v>
      </c>
      <c r="K638" t="s">
        <v>1243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>
      <c r="A639" t="s">
        <v>1181</v>
      </c>
      <c r="B639" s="2">
        <v>0</v>
      </c>
      <c r="C639" s="2" t="s">
        <v>34</v>
      </c>
      <c r="D639" s="2" t="s">
        <v>33</v>
      </c>
      <c r="E639" s="2">
        <v>100</v>
      </c>
      <c r="F639">
        <v>0</v>
      </c>
      <c r="G639" t="b">
        <v>0</v>
      </c>
      <c r="H639">
        <v>0</v>
      </c>
      <c r="K639" t="s">
        <v>1243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>
      <c r="A640" t="s">
        <v>723</v>
      </c>
      <c r="B640" s="2">
        <v>0</v>
      </c>
      <c r="C640" s="2" t="s">
        <v>22</v>
      </c>
      <c r="D640" s="2" t="s">
        <v>33</v>
      </c>
      <c r="E640" s="2">
        <v>100</v>
      </c>
      <c r="F640">
        <v>0</v>
      </c>
      <c r="G640" t="b">
        <v>0</v>
      </c>
      <c r="H640">
        <v>0</v>
      </c>
      <c r="K640" t="s">
        <v>1243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>
      <c r="A641" t="s">
        <v>1111</v>
      </c>
      <c r="B641" s="2">
        <v>0</v>
      </c>
      <c r="C641" s="2" t="s">
        <v>32</v>
      </c>
      <c r="D641" s="2" t="s">
        <v>33</v>
      </c>
      <c r="E641" s="2">
        <v>100</v>
      </c>
      <c r="F641">
        <v>0</v>
      </c>
      <c r="G641" t="b">
        <v>0</v>
      </c>
      <c r="H641">
        <v>0</v>
      </c>
      <c r="K641" t="s">
        <v>1243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>
      <c r="A642" t="s">
        <v>1112</v>
      </c>
      <c r="B642" s="2">
        <v>0</v>
      </c>
      <c r="C642" s="2" t="s">
        <v>32</v>
      </c>
      <c r="D642" s="2" t="s">
        <v>33</v>
      </c>
      <c r="E642" s="2">
        <v>75</v>
      </c>
      <c r="F642">
        <v>0</v>
      </c>
      <c r="G642" t="b">
        <v>0</v>
      </c>
      <c r="H642">
        <v>0</v>
      </c>
      <c r="K642" t="s">
        <v>1243</v>
      </c>
      <c r="L642" t="s">
        <v>1301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>
      <c r="A643" t="s">
        <v>1182</v>
      </c>
      <c r="B643" s="2">
        <v>0</v>
      </c>
      <c r="C643" s="2" t="s">
        <v>22</v>
      </c>
      <c r="D643" s="2" t="s">
        <v>33</v>
      </c>
      <c r="E643" s="2">
        <v>100</v>
      </c>
      <c r="F643">
        <v>0</v>
      </c>
      <c r="G643" t="b">
        <v>0</v>
      </c>
      <c r="H643">
        <v>0</v>
      </c>
      <c r="K643" t="s">
        <v>1243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>
      <c r="A644" t="s">
        <v>1113</v>
      </c>
      <c r="B644" s="2">
        <v>0</v>
      </c>
      <c r="C644" s="2" t="s">
        <v>22</v>
      </c>
      <c r="D644" s="2" t="s">
        <v>33</v>
      </c>
      <c r="E644" s="2">
        <v>100</v>
      </c>
      <c r="F644">
        <v>0</v>
      </c>
      <c r="G644" t="b">
        <v>0</v>
      </c>
      <c r="H644">
        <v>0</v>
      </c>
      <c r="K644" t="s">
        <v>1243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>
      <c r="A645" t="s">
        <v>1183</v>
      </c>
      <c r="B645" s="2">
        <v>0</v>
      </c>
      <c r="C645" s="2" t="s">
        <v>22</v>
      </c>
      <c r="D645" s="2" t="s">
        <v>33</v>
      </c>
      <c r="E645" s="2">
        <v>100</v>
      </c>
      <c r="F645">
        <v>0</v>
      </c>
      <c r="G645" t="b">
        <v>0</v>
      </c>
      <c r="H645">
        <v>0</v>
      </c>
      <c r="K645" t="s">
        <v>1243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>
      <c r="A646" t="s">
        <v>1114</v>
      </c>
      <c r="B646" s="2">
        <v>0</v>
      </c>
      <c r="C646" s="2" t="s">
        <v>41</v>
      </c>
      <c r="D646" s="2" t="s">
        <v>33</v>
      </c>
      <c r="E646" s="2">
        <v>100</v>
      </c>
      <c r="F646">
        <v>0</v>
      </c>
      <c r="G646" t="b">
        <v>0</v>
      </c>
      <c r="H646">
        <v>0</v>
      </c>
      <c r="K646" t="s">
        <v>1243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>
      <c r="A647" t="s">
        <v>1184</v>
      </c>
      <c r="B647" s="2">
        <v>0</v>
      </c>
      <c r="C647" s="2" t="s">
        <v>20</v>
      </c>
      <c r="D647" s="2" t="s">
        <v>33</v>
      </c>
      <c r="E647" s="2">
        <v>100</v>
      </c>
      <c r="F647">
        <v>0</v>
      </c>
      <c r="G647" t="b">
        <v>0</v>
      </c>
      <c r="H647">
        <v>0</v>
      </c>
      <c r="K647" t="s">
        <v>1247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>
      <c r="A648" t="s">
        <v>669</v>
      </c>
      <c r="B648" s="2">
        <v>0</v>
      </c>
      <c r="C648" s="2" t="s">
        <v>32</v>
      </c>
      <c r="D648" s="2" t="s">
        <v>33</v>
      </c>
      <c r="E648" s="2">
        <v>100</v>
      </c>
      <c r="F648">
        <v>0</v>
      </c>
      <c r="G648" t="b">
        <v>0</v>
      </c>
      <c r="H648">
        <v>4</v>
      </c>
      <c r="K648" t="s">
        <v>1243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>
      <c r="A649" t="s">
        <v>1115</v>
      </c>
      <c r="B649" s="2">
        <v>0</v>
      </c>
      <c r="C649" s="2" t="s">
        <v>32</v>
      </c>
      <c r="D649" s="2" t="s">
        <v>33</v>
      </c>
      <c r="E649" s="2">
        <v>100</v>
      </c>
      <c r="F649">
        <v>0</v>
      </c>
      <c r="G649" t="b">
        <v>0</v>
      </c>
      <c r="H649">
        <v>0</v>
      </c>
      <c r="K649" t="s">
        <v>1243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>
      <c r="A650" t="s">
        <v>1116</v>
      </c>
      <c r="B650" s="2">
        <v>0</v>
      </c>
      <c r="C650" s="2" t="s">
        <v>38</v>
      </c>
      <c r="D650" s="2" t="s">
        <v>33</v>
      </c>
      <c r="E650" s="2">
        <v>100</v>
      </c>
      <c r="F650">
        <v>0</v>
      </c>
      <c r="G650" t="b">
        <v>0</v>
      </c>
      <c r="H650">
        <v>0</v>
      </c>
      <c r="K650" t="s">
        <v>1243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>
      <c r="A651" t="s">
        <v>1117</v>
      </c>
      <c r="B651" s="2">
        <v>0</v>
      </c>
      <c r="C651" s="2" t="s">
        <v>24</v>
      </c>
      <c r="D651" s="2" t="s">
        <v>33</v>
      </c>
      <c r="E651" s="2">
        <v>85</v>
      </c>
      <c r="F651">
        <v>0</v>
      </c>
      <c r="G651" t="b">
        <v>0</v>
      </c>
      <c r="H651">
        <v>0</v>
      </c>
      <c r="K651" t="s">
        <v>1243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>
      <c r="A652" t="s">
        <v>1118</v>
      </c>
      <c r="B652" s="2">
        <v>0</v>
      </c>
      <c r="C652" s="2" t="s">
        <v>32</v>
      </c>
      <c r="D652" s="2" t="s">
        <v>33</v>
      </c>
      <c r="E652" s="2">
        <v>100</v>
      </c>
      <c r="F652">
        <v>0</v>
      </c>
      <c r="G652" t="b">
        <v>0</v>
      </c>
      <c r="H652">
        <v>0</v>
      </c>
      <c r="K652" t="s">
        <v>1243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>
      <c r="A653" t="s">
        <v>1119</v>
      </c>
      <c r="B653" s="2">
        <v>0</v>
      </c>
      <c r="C653" s="2" t="s">
        <v>32</v>
      </c>
      <c r="D653" s="2" t="s">
        <v>33</v>
      </c>
      <c r="E653" s="2">
        <v>100</v>
      </c>
      <c r="F653">
        <v>0</v>
      </c>
      <c r="G653" t="b">
        <v>0</v>
      </c>
      <c r="H653">
        <v>0</v>
      </c>
      <c r="K653" t="s">
        <v>1243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>
      <c r="A654" t="s">
        <v>1185</v>
      </c>
      <c r="B654" s="2">
        <v>0</v>
      </c>
      <c r="C654" s="2" t="s">
        <v>32</v>
      </c>
      <c r="D654" s="2" t="s">
        <v>33</v>
      </c>
      <c r="E654" s="2">
        <v>100</v>
      </c>
      <c r="F654">
        <v>0</v>
      </c>
      <c r="G654" t="b">
        <v>0</v>
      </c>
      <c r="H654">
        <v>0</v>
      </c>
      <c r="K654" t="s">
        <v>1243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>
      <c r="A655" t="s">
        <v>1120</v>
      </c>
      <c r="B655" s="2">
        <v>0</v>
      </c>
      <c r="C655" s="2" t="s">
        <v>32</v>
      </c>
      <c r="D655" s="2" t="s">
        <v>33</v>
      </c>
      <c r="E655" s="2">
        <v>100</v>
      </c>
      <c r="F655">
        <v>0</v>
      </c>
      <c r="G655" t="b">
        <v>0</v>
      </c>
      <c r="H655">
        <v>0</v>
      </c>
      <c r="K655" t="s">
        <v>1243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>
      <c r="A656" t="s">
        <v>1121</v>
      </c>
      <c r="B656" s="2">
        <v>0</v>
      </c>
      <c r="C656" s="2" t="s">
        <v>32</v>
      </c>
      <c r="D656" s="2" t="s">
        <v>33</v>
      </c>
      <c r="E656" s="2">
        <v>100</v>
      </c>
      <c r="F656">
        <v>0</v>
      </c>
      <c r="G656" t="b">
        <v>0</v>
      </c>
      <c r="H656">
        <v>0</v>
      </c>
      <c r="K656" t="s">
        <v>1243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>
      <c r="A657" t="s">
        <v>1122</v>
      </c>
      <c r="B657" s="2">
        <v>0</v>
      </c>
      <c r="C657" s="2" t="s">
        <v>40</v>
      </c>
      <c r="D657" s="2" t="s">
        <v>33</v>
      </c>
      <c r="E657" s="2">
        <v>100</v>
      </c>
      <c r="F657">
        <v>0</v>
      </c>
      <c r="G657" t="b">
        <v>0</v>
      </c>
      <c r="H657">
        <v>0</v>
      </c>
      <c r="K657" t="s">
        <v>1243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>
      <c r="A658" t="s">
        <v>1123</v>
      </c>
      <c r="B658" s="2">
        <v>0</v>
      </c>
      <c r="C658" s="2" t="s">
        <v>44</v>
      </c>
      <c r="D658" s="2" t="s">
        <v>33</v>
      </c>
      <c r="E658" s="2">
        <v>100</v>
      </c>
      <c r="F658">
        <v>0</v>
      </c>
      <c r="G658" t="b">
        <v>0</v>
      </c>
      <c r="H658">
        <v>0</v>
      </c>
      <c r="K658" t="s">
        <v>1243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>
      <c r="A659" t="s">
        <v>1124</v>
      </c>
      <c r="B659" s="2">
        <v>0</v>
      </c>
      <c r="C659" s="2" t="s">
        <v>44</v>
      </c>
      <c r="D659" s="2" t="s">
        <v>33</v>
      </c>
      <c r="E659" s="2">
        <v>100</v>
      </c>
      <c r="F659">
        <v>0</v>
      </c>
      <c r="G659" t="b">
        <v>0</v>
      </c>
      <c r="H659">
        <v>0</v>
      </c>
      <c r="K659" t="s">
        <v>1243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>
      <c r="A660" t="s">
        <v>1125</v>
      </c>
      <c r="B660" s="2">
        <v>0</v>
      </c>
      <c r="C660" s="2" t="s">
        <v>32</v>
      </c>
      <c r="D660" s="2" t="s">
        <v>33</v>
      </c>
      <c r="E660" s="2">
        <v>100</v>
      </c>
      <c r="F660">
        <v>0</v>
      </c>
      <c r="G660" t="b">
        <v>0</v>
      </c>
      <c r="H660">
        <v>0</v>
      </c>
      <c r="K660" t="s">
        <v>1243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>
      <c r="A661" t="s">
        <v>732</v>
      </c>
      <c r="B661" s="2">
        <v>0</v>
      </c>
      <c r="C661" s="2" t="s">
        <v>38</v>
      </c>
      <c r="D661" s="2" t="s">
        <v>33</v>
      </c>
      <c r="E661" s="2">
        <v>100</v>
      </c>
      <c r="F661">
        <v>0</v>
      </c>
      <c r="G661" t="b">
        <v>0</v>
      </c>
      <c r="H661">
        <v>0</v>
      </c>
      <c r="K661" t="s">
        <v>1243</v>
      </c>
      <c r="M661">
        <v>1</v>
      </c>
      <c r="N661">
        <v>0</v>
      </c>
      <c r="O661">
        <v>0</v>
      </c>
      <c r="P661">
        <v>2</v>
      </c>
      <c r="Q661">
        <v>0</v>
      </c>
      <c r="R661">
        <v>0</v>
      </c>
    </row>
    <row r="662" spans="1:18">
      <c r="A662" t="s">
        <v>716</v>
      </c>
      <c r="B662" s="2">
        <v>0</v>
      </c>
      <c r="C662" s="2" t="s">
        <v>20</v>
      </c>
      <c r="D662" s="2" t="s">
        <v>33</v>
      </c>
      <c r="E662" s="2">
        <v>100</v>
      </c>
      <c r="F662">
        <v>0</v>
      </c>
      <c r="G662" t="b">
        <v>0</v>
      </c>
      <c r="H662">
        <v>0</v>
      </c>
      <c r="K662" t="s">
        <v>1243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</row>
    <row r="663" spans="1:18">
      <c r="A663" t="s">
        <v>1029</v>
      </c>
      <c r="B663" s="2">
        <v>0</v>
      </c>
      <c r="C663" s="2" t="s">
        <v>32</v>
      </c>
      <c r="D663" s="2" t="s">
        <v>33</v>
      </c>
      <c r="E663" s="2">
        <v>100</v>
      </c>
      <c r="F663">
        <v>0</v>
      </c>
      <c r="G663" t="b">
        <v>0</v>
      </c>
      <c r="H663">
        <v>0</v>
      </c>
      <c r="K663" t="s">
        <v>1243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>
      <c r="A664" t="s">
        <v>763</v>
      </c>
      <c r="B664" s="2">
        <v>0</v>
      </c>
      <c r="C664" s="2" t="s">
        <v>38</v>
      </c>
      <c r="D664" s="2" t="s">
        <v>33</v>
      </c>
      <c r="E664" s="2">
        <v>100</v>
      </c>
      <c r="F664">
        <v>0</v>
      </c>
      <c r="G664" t="b">
        <v>0</v>
      </c>
      <c r="H664">
        <v>4</v>
      </c>
      <c r="K664" t="s">
        <v>1264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>
      <c r="A665" t="s">
        <v>714</v>
      </c>
      <c r="B665" s="2">
        <v>0</v>
      </c>
      <c r="C665" s="2" t="s">
        <v>20</v>
      </c>
      <c r="D665" s="2" t="s">
        <v>33</v>
      </c>
      <c r="E665" s="2">
        <v>100</v>
      </c>
      <c r="F665">
        <v>0</v>
      </c>
      <c r="G665" t="b">
        <v>0</v>
      </c>
      <c r="H665">
        <v>0</v>
      </c>
      <c r="K665" t="s">
        <v>1243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>
      <c r="A666" t="s">
        <v>1126</v>
      </c>
      <c r="B666" s="2">
        <v>0</v>
      </c>
      <c r="C666" s="2" t="s">
        <v>32</v>
      </c>
      <c r="D666" s="2" t="s">
        <v>33</v>
      </c>
      <c r="E666" s="2">
        <v>100</v>
      </c>
      <c r="F666">
        <v>0</v>
      </c>
      <c r="G666" t="b">
        <v>0</v>
      </c>
      <c r="H666">
        <v>0</v>
      </c>
      <c r="K666" t="s">
        <v>1243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>
      <c r="A667" t="s">
        <v>1127</v>
      </c>
      <c r="B667" s="2">
        <v>0</v>
      </c>
      <c r="C667" s="2" t="s">
        <v>38</v>
      </c>
      <c r="D667" s="2" t="s">
        <v>33</v>
      </c>
      <c r="E667" s="2">
        <v>100</v>
      </c>
      <c r="F667">
        <v>0</v>
      </c>
      <c r="G667" t="b">
        <v>0</v>
      </c>
      <c r="H667">
        <v>0</v>
      </c>
      <c r="K667" t="s">
        <v>1243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>
      <c r="A668" t="s">
        <v>1128</v>
      </c>
      <c r="B668" s="2">
        <v>0</v>
      </c>
      <c r="C668" s="2" t="s">
        <v>32</v>
      </c>
      <c r="D668" s="2" t="s">
        <v>33</v>
      </c>
      <c r="E668" s="2">
        <v>100</v>
      </c>
      <c r="F668">
        <v>0</v>
      </c>
      <c r="G668" t="b">
        <v>0</v>
      </c>
      <c r="H668">
        <v>0</v>
      </c>
      <c r="K668" t="s">
        <v>1243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>
      <c r="A669" t="s">
        <v>1129</v>
      </c>
      <c r="B669" s="2">
        <v>0</v>
      </c>
      <c r="C669" s="2" t="s">
        <v>32</v>
      </c>
      <c r="D669" s="2" t="s">
        <v>33</v>
      </c>
      <c r="E669" s="2">
        <v>100</v>
      </c>
      <c r="F669">
        <v>0</v>
      </c>
      <c r="G669" t="b">
        <v>0</v>
      </c>
      <c r="H669">
        <v>0</v>
      </c>
      <c r="K669" t="s">
        <v>1243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>
      <c r="A670" t="s">
        <v>808</v>
      </c>
      <c r="B670" s="2">
        <v>0</v>
      </c>
      <c r="C670" s="2" t="s">
        <v>53</v>
      </c>
      <c r="D670" s="2" t="s">
        <v>33</v>
      </c>
      <c r="E670" s="2">
        <v>90</v>
      </c>
      <c r="F670">
        <v>0</v>
      </c>
      <c r="G670" t="b">
        <v>0</v>
      </c>
      <c r="H670">
        <v>0</v>
      </c>
      <c r="K670" t="s">
        <v>1243</v>
      </c>
      <c r="L670" t="s">
        <v>53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>
      <c r="A671" t="s">
        <v>1130</v>
      </c>
      <c r="B671" s="2">
        <v>0</v>
      </c>
      <c r="C671" s="2" t="s">
        <v>53</v>
      </c>
      <c r="D671" s="2" t="s">
        <v>33</v>
      </c>
      <c r="E671" s="2">
        <v>75</v>
      </c>
      <c r="F671">
        <v>0</v>
      </c>
      <c r="G671" t="b">
        <v>0</v>
      </c>
      <c r="H671">
        <v>0</v>
      </c>
      <c r="K671" t="s">
        <v>1243</v>
      </c>
      <c r="L671" t="s">
        <v>53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>
      <c r="A672" t="s">
        <v>753</v>
      </c>
      <c r="B672" s="2">
        <v>0</v>
      </c>
      <c r="C672" s="2" t="s">
        <v>22</v>
      </c>
      <c r="D672" s="2" t="s">
        <v>33</v>
      </c>
      <c r="E672" s="2">
        <v>100</v>
      </c>
      <c r="F672">
        <v>0</v>
      </c>
      <c r="G672" t="b">
        <v>0</v>
      </c>
      <c r="H672">
        <v>0</v>
      </c>
      <c r="K672" t="s">
        <v>1243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>
      <c r="A673" t="s">
        <v>1131</v>
      </c>
      <c r="B673" s="2">
        <v>0</v>
      </c>
      <c r="C673" s="2" t="s">
        <v>22</v>
      </c>
      <c r="D673" s="2" t="s">
        <v>33</v>
      </c>
      <c r="E673" s="2">
        <v>100</v>
      </c>
      <c r="F673">
        <v>0</v>
      </c>
      <c r="G673" t="b">
        <v>0</v>
      </c>
      <c r="H673">
        <v>0</v>
      </c>
      <c r="K673" t="s">
        <v>1243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>
      <c r="A674" t="s">
        <v>1132</v>
      </c>
      <c r="B674" s="2">
        <v>0</v>
      </c>
      <c r="C674" s="2" t="s">
        <v>22</v>
      </c>
      <c r="D674" s="2" t="s">
        <v>33</v>
      </c>
      <c r="E674" s="2">
        <v>100</v>
      </c>
      <c r="F674">
        <v>0</v>
      </c>
      <c r="G674" t="b">
        <v>0</v>
      </c>
      <c r="H674">
        <v>0</v>
      </c>
      <c r="K674" t="s">
        <v>1243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>
      <c r="A675" t="s">
        <v>769</v>
      </c>
      <c r="B675" s="2">
        <v>0</v>
      </c>
      <c r="C675" s="2" t="s">
        <v>32</v>
      </c>
      <c r="D675" s="2" t="s">
        <v>33</v>
      </c>
      <c r="E675" s="2">
        <v>100</v>
      </c>
      <c r="F675">
        <v>0</v>
      </c>
      <c r="G675" t="b">
        <v>0</v>
      </c>
      <c r="H675">
        <v>4</v>
      </c>
      <c r="K675" t="s">
        <v>1243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>
      <c r="A676" t="s">
        <v>1133</v>
      </c>
      <c r="B676" s="2">
        <v>0</v>
      </c>
      <c r="C676" s="2" t="s">
        <v>32</v>
      </c>
      <c r="D676" s="2" t="s">
        <v>33</v>
      </c>
      <c r="E676" s="2">
        <v>100</v>
      </c>
      <c r="F676">
        <v>0</v>
      </c>
      <c r="G676" t="b">
        <v>0</v>
      </c>
      <c r="H676">
        <v>0</v>
      </c>
      <c r="K676" t="s">
        <v>1243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>
      <c r="A677" t="s">
        <v>1134</v>
      </c>
      <c r="B677" s="2">
        <v>0</v>
      </c>
      <c r="C677" s="2" t="s">
        <v>22</v>
      </c>
      <c r="D677" s="2" t="s">
        <v>33</v>
      </c>
      <c r="E677" s="2">
        <v>100</v>
      </c>
      <c r="F677">
        <v>0</v>
      </c>
      <c r="G677" t="b">
        <v>0</v>
      </c>
      <c r="H677">
        <v>0</v>
      </c>
      <c r="K677" t="s">
        <v>1243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>
      <c r="A678" t="s">
        <v>1186</v>
      </c>
      <c r="B678" s="2">
        <v>0</v>
      </c>
      <c r="C678" s="2" t="s">
        <v>22</v>
      </c>
      <c r="D678" s="2" t="s">
        <v>33</v>
      </c>
      <c r="E678" s="2">
        <v>100</v>
      </c>
      <c r="F678">
        <v>0</v>
      </c>
      <c r="G678" t="b">
        <v>0</v>
      </c>
      <c r="H678">
        <v>0</v>
      </c>
      <c r="K678" t="s">
        <v>1243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>
      <c r="A679" t="s">
        <v>1187</v>
      </c>
      <c r="B679" s="2">
        <v>0</v>
      </c>
      <c r="C679" s="2" t="s">
        <v>53</v>
      </c>
      <c r="D679" s="2" t="s">
        <v>33</v>
      </c>
      <c r="E679" s="2">
        <v>100</v>
      </c>
      <c r="F679">
        <v>0</v>
      </c>
      <c r="G679" t="b">
        <v>0</v>
      </c>
      <c r="H679">
        <v>0</v>
      </c>
      <c r="K679" t="s">
        <v>1243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>
      <c r="A680" t="s">
        <v>1135</v>
      </c>
      <c r="B680" s="2">
        <v>0</v>
      </c>
      <c r="C680" s="2" t="s">
        <v>38</v>
      </c>
      <c r="D680" s="2" t="s">
        <v>33</v>
      </c>
      <c r="E680" s="2">
        <v>100</v>
      </c>
      <c r="F680">
        <v>0</v>
      </c>
      <c r="G680" t="b">
        <v>0</v>
      </c>
      <c r="H680">
        <v>0</v>
      </c>
      <c r="K680" t="s">
        <v>1243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>
      <c r="A681" t="s">
        <v>1136</v>
      </c>
      <c r="B681" s="2">
        <v>0</v>
      </c>
      <c r="C681" s="2" t="s">
        <v>20</v>
      </c>
      <c r="D681" s="2" t="s">
        <v>33</v>
      </c>
      <c r="E681" s="2">
        <v>100</v>
      </c>
      <c r="F681">
        <v>0</v>
      </c>
      <c r="G681" t="b">
        <v>0</v>
      </c>
      <c r="H681">
        <v>3</v>
      </c>
      <c r="K681" t="s">
        <v>1243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>
      <c r="A682" t="s">
        <v>1188</v>
      </c>
      <c r="B682" s="2">
        <v>0</v>
      </c>
      <c r="C682" s="2" t="s">
        <v>21</v>
      </c>
      <c r="D682" s="2" t="s">
        <v>33</v>
      </c>
      <c r="E682" s="2">
        <v>100</v>
      </c>
      <c r="F682">
        <v>0</v>
      </c>
      <c r="G682" t="b">
        <v>0</v>
      </c>
      <c r="H682">
        <v>0</v>
      </c>
      <c r="K682" t="s">
        <v>1243</v>
      </c>
      <c r="M682">
        <v>1</v>
      </c>
      <c r="N682">
        <v>0</v>
      </c>
      <c r="O682">
        <v>0</v>
      </c>
      <c r="P682">
        <v>1</v>
      </c>
      <c r="Q682">
        <v>1</v>
      </c>
      <c r="R682">
        <v>1</v>
      </c>
    </row>
    <row r="683" spans="1:18">
      <c r="A683" t="s">
        <v>1189</v>
      </c>
      <c r="B683" s="2">
        <v>0</v>
      </c>
      <c r="C683" s="2" t="s">
        <v>21</v>
      </c>
      <c r="D683" s="2" t="s">
        <v>33</v>
      </c>
      <c r="E683" s="2">
        <v>100</v>
      </c>
      <c r="F683">
        <v>0</v>
      </c>
      <c r="G683" t="b">
        <v>0</v>
      </c>
      <c r="H683">
        <v>0</v>
      </c>
      <c r="K683" t="s">
        <v>1243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>
      <c r="A684" t="s">
        <v>774</v>
      </c>
      <c r="B684" s="2">
        <v>0</v>
      </c>
      <c r="C684" s="2" t="s">
        <v>34</v>
      </c>
      <c r="D684" s="2" t="s">
        <v>33</v>
      </c>
      <c r="E684" s="2">
        <v>100</v>
      </c>
      <c r="F684">
        <v>0</v>
      </c>
      <c r="G684" t="b">
        <v>0</v>
      </c>
      <c r="H684">
        <v>0</v>
      </c>
      <c r="K684" t="s">
        <v>1243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>
      <c r="A685" t="s">
        <v>722</v>
      </c>
      <c r="B685" s="2">
        <v>0</v>
      </c>
      <c r="C685" s="2" t="s">
        <v>32</v>
      </c>
      <c r="D685" s="2" t="s">
        <v>33</v>
      </c>
      <c r="E685" s="2">
        <v>100</v>
      </c>
      <c r="F685">
        <v>0</v>
      </c>
      <c r="G685" t="b">
        <v>0</v>
      </c>
      <c r="H685">
        <v>0</v>
      </c>
      <c r="K685" t="s">
        <v>1243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>
      <c r="A686" t="s">
        <v>993</v>
      </c>
      <c r="B686" s="2">
        <v>0</v>
      </c>
      <c r="C686" s="2" t="s">
        <v>22</v>
      </c>
      <c r="D686" s="2" t="s">
        <v>33</v>
      </c>
      <c r="E686" s="2">
        <v>100</v>
      </c>
      <c r="F686">
        <v>0</v>
      </c>
      <c r="G686" t="b">
        <v>0</v>
      </c>
      <c r="H686">
        <v>0</v>
      </c>
      <c r="K686" t="s">
        <v>1243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>
      <c r="A687" t="s">
        <v>1190</v>
      </c>
      <c r="B687" s="2">
        <v>0</v>
      </c>
      <c r="C687" s="2" t="s">
        <v>32</v>
      </c>
      <c r="D687" s="2" t="s">
        <v>33</v>
      </c>
      <c r="E687" s="2">
        <v>100</v>
      </c>
      <c r="F687">
        <v>0</v>
      </c>
      <c r="G687" t="b">
        <v>0</v>
      </c>
      <c r="H687">
        <v>0</v>
      </c>
      <c r="K687" t="s">
        <v>1243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>
      <c r="A688" t="s">
        <v>1137</v>
      </c>
      <c r="B688" s="2">
        <v>0</v>
      </c>
      <c r="C688" s="2" t="s">
        <v>22</v>
      </c>
      <c r="D688" s="2" t="s">
        <v>33</v>
      </c>
      <c r="E688" s="2">
        <v>100</v>
      </c>
      <c r="F688">
        <v>0</v>
      </c>
      <c r="G688" t="b">
        <v>0</v>
      </c>
      <c r="H688">
        <v>0</v>
      </c>
      <c r="K688" t="s">
        <v>1243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>
      <c r="A689" t="s">
        <v>129</v>
      </c>
      <c r="B689" s="2">
        <v>0</v>
      </c>
      <c r="C689" s="2" t="s">
        <v>32</v>
      </c>
      <c r="D689" s="2" t="s">
        <v>33</v>
      </c>
      <c r="E689" s="2">
        <v>100</v>
      </c>
      <c r="F689">
        <v>0</v>
      </c>
      <c r="G689" t="b">
        <v>0</v>
      </c>
      <c r="H689">
        <v>-7</v>
      </c>
      <c r="K689" t="s">
        <v>1243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>
      <c r="A690" t="s">
        <v>1191</v>
      </c>
      <c r="B690" s="2">
        <v>0</v>
      </c>
      <c r="C690" s="2" t="s">
        <v>25</v>
      </c>
      <c r="D690" s="2" t="s">
        <v>33</v>
      </c>
      <c r="E690" s="2">
        <v>100</v>
      </c>
      <c r="F690">
        <v>0</v>
      </c>
      <c r="G690" t="b">
        <v>0</v>
      </c>
      <c r="H690">
        <v>0</v>
      </c>
      <c r="K690" t="s">
        <v>1243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2</v>
      </c>
    </row>
    <row r="691" spans="1:18">
      <c r="A691" t="s">
        <v>118</v>
      </c>
      <c r="B691" s="2">
        <v>0</v>
      </c>
      <c r="C691" s="2" t="s">
        <v>35</v>
      </c>
      <c r="D691" s="2" t="s">
        <v>33</v>
      </c>
      <c r="E691" s="2">
        <v>100</v>
      </c>
      <c r="F691">
        <v>0</v>
      </c>
      <c r="G691" t="b">
        <v>0</v>
      </c>
      <c r="H691">
        <v>0</v>
      </c>
      <c r="K691" t="s">
        <v>1243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>
      <c r="A692" t="s">
        <v>810</v>
      </c>
      <c r="B692" s="2">
        <v>0</v>
      </c>
      <c r="C692" s="2" t="s">
        <v>32</v>
      </c>
      <c r="D692" s="2" t="s">
        <v>33</v>
      </c>
      <c r="E692" s="2">
        <v>100</v>
      </c>
      <c r="F692">
        <v>0</v>
      </c>
      <c r="G692" t="b">
        <v>0</v>
      </c>
      <c r="H692">
        <v>0</v>
      </c>
      <c r="K692" t="s">
        <v>1243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>
      <c r="A693" t="s">
        <v>760</v>
      </c>
      <c r="B693" s="2">
        <v>0</v>
      </c>
      <c r="C693" s="2" t="s">
        <v>23</v>
      </c>
      <c r="D693" s="2" t="s">
        <v>33</v>
      </c>
      <c r="E693" s="2">
        <v>100</v>
      </c>
      <c r="F693">
        <v>0</v>
      </c>
      <c r="G693" t="b">
        <v>0</v>
      </c>
      <c r="H693">
        <v>0</v>
      </c>
      <c r="K693" t="s">
        <v>1243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>
      <c r="A694" t="s">
        <v>777</v>
      </c>
      <c r="B694" s="2">
        <v>0</v>
      </c>
      <c r="C694" s="2" t="s">
        <v>25</v>
      </c>
      <c r="D694" s="2" t="s">
        <v>33</v>
      </c>
      <c r="E694" s="2">
        <v>100</v>
      </c>
      <c r="F694">
        <v>0</v>
      </c>
      <c r="G694" t="b">
        <v>0</v>
      </c>
      <c r="H694">
        <v>0</v>
      </c>
      <c r="K694" t="s">
        <v>1243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>
      <c r="A695" t="s">
        <v>700</v>
      </c>
      <c r="B695" s="2">
        <v>0</v>
      </c>
      <c r="C695" s="2" t="s">
        <v>32</v>
      </c>
      <c r="D695" s="2" t="s">
        <v>33</v>
      </c>
      <c r="E695" s="2">
        <v>100</v>
      </c>
      <c r="F695">
        <v>0</v>
      </c>
      <c r="G695" t="b">
        <v>0</v>
      </c>
      <c r="H695">
        <v>0</v>
      </c>
      <c r="K695" t="s">
        <v>1243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>
      <c r="A696" t="s">
        <v>682</v>
      </c>
      <c r="B696" s="2">
        <v>0</v>
      </c>
      <c r="C696" s="2" t="s">
        <v>32</v>
      </c>
      <c r="D696" s="2" t="s">
        <v>33</v>
      </c>
      <c r="E696" s="2">
        <v>85</v>
      </c>
      <c r="F696">
        <v>0</v>
      </c>
      <c r="G696" t="b">
        <v>0</v>
      </c>
      <c r="H696">
        <v>0</v>
      </c>
      <c r="K696" t="s">
        <v>1243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>
      <c r="A697" t="s">
        <v>1058</v>
      </c>
      <c r="B697" s="2">
        <v>0</v>
      </c>
      <c r="C697" s="2" t="s">
        <v>32</v>
      </c>
      <c r="D697" s="2" t="s">
        <v>33</v>
      </c>
      <c r="E697" s="2">
        <v>100</v>
      </c>
      <c r="F697">
        <v>0</v>
      </c>
      <c r="G697" t="b">
        <v>0</v>
      </c>
      <c r="H697">
        <v>0</v>
      </c>
      <c r="K697" t="s">
        <v>1243</v>
      </c>
      <c r="M697">
        <v>1</v>
      </c>
      <c r="N697">
        <v>2</v>
      </c>
      <c r="O697">
        <v>-1</v>
      </c>
      <c r="P697">
        <v>2</v>
      </c>
      <c r="Q697">
        <v>-1</v>
      </c>
      <c r="R697">
        <v>2</v>
      </c>
    </row>
    <row r="698" spans="1:18">
      <c r="A698" t="s">
        <v>794</v>
      </c>
      <c r="B698" s="2">
        <v>0</v>
      </c>
      <c r="C698" s="2" t="s">
        <v>24</v>
      </c>
      <c r="D698" s="2" t="s">
        <v>33</v>
      </c>
      <c r="E698" s="2">
        <v>100</v>
      </c>
      <c r="F698">
        <v>0</v>
      </c>
      <c r="G698" t="b">
        <v>0</v>
      </c>
      <c r="H698">
        <v>0</v>
      </c>
      <c r="K698" t="s">
        <v>1243</v>
      </c>
      <c r="M698">
        <v>1</v>
      </c>
      <c r="N698">
        <v>1</v>
      </c>
      <c r="O698">
        <v>0</v>
      </c>
      <c r="P698">
        <v>0</v>
      </c>
      <c r="Q698">
        <v>0</v>
      </c>
      <c r="R698">
        <v>2</v>
      </c>
    </row>
    <row r="699" spans="1:18">
      <c r="A699" t="s">
        <v>1192</v>
      </c>
      <c r="B699" s="2">
        <v>0</v>
      </c>
      <c r="C699" s="2" t="s">
        <v>23</v>
      </c>
      <c r="D699" s="2" t="s">
        <v>33</v>
      </c>
      <c r="E699" s="2">
        <v>100</v>
      </c>
      <c r="F699">
        <v>0</v>
      </c>
      <c r="G699" t="b">
        <v>0</v>
      </c>
      <c r="H699">
        <v>0</v>
      </c>
      <c r="K699" t="s">
        <v>1243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>
      <c r="A700" t="s">
        <v>1138</v>
      </c>
      <c r="B700" s="2">
        <v>0</v>
      </c>
      <c r="C700" s="2" t="s">
        <v>32</v>
      </c>
      <c r="D700" s="2" t="s">
        <v>33</v>
      </c>
      <c r="E700" s="2">
        <v>100</v>
      </c>
      <c r="F700">
        <v>0</v>
      </c>
      <c r="G700" t="b">
        <v>0</v>
      </c>
      <c r="H700">
        <v>0</v>
      </c>
      <c r="K700" t="s">
        <v>1243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>
      <c r="A701" t="s">
        <v>1139</v>
      </c>
      <c r="B701" s="2">
        <v>0</v>
      </c>
      <c r="C701" s="2" t="s">
        <v>32</v>
      </c>
      <c r="D701" s="2" t="s">
        <v>33</v>
      </c>
      <c r="E701" s="2">
        <v>55</v>
      </c>
      <c r="F701">
        <v>0</v>
      </c>
      <c r="G701" t="b">
        <v>0</v>
      </c>
      <c r="H701">
        <v>0</v>
      </c>
      <c r="K701" t="s">
        <v>1243</v>
      </c>
      <c r="L701" t="s">
        <v>1301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>
      <c r="A702" t="s">
        <v>1140</v>
      </c>
      <c r="B702" s="2">
        <v>0</v>
      </c>
      <c r="C702" s="2" t="s">
        <v>32</v>
      </c>
      <c r="D702" s="2" t="s">
        <v>33</v>
      </c>
      <c r="E702" s="2">
        <v>100</v>
      </c>
      <c r="F702">
        <v>0</v>
      </c>
      <c r="G702" t="b">
        <v>0</v>
      </c>
      <c r="H702">
        <v>0</v>
      </c>
      <c r="K702" t="s">
        <v>1243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>
      <c r="A703" t="s">
        <v>1193</v>
      </c>
      <c r="B703" s="2">
        <v>0</v>
      </c>
      <c r="C703" s="2" t="s">
        <v>22</v>
      </c>
      <c r="D703" s="2" t="s">
        <v>33</v>
      </c>
      <c r="E703" s="2">
        <v>100</v>
      </c>
      <c r="F703">
        <v>0</v>
      </c>
      <c r="G703" t="b">
        <v>0</v>
      </c>
      <c r="H703">
        <v>0</v>
      </c>
      <c r="K703" t="s">
        <v>1243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>
      <c r="A704" t="s">
        <v>1141</v>
      </c>
      <c r="B704" s="2">
        <v>0</v>
      </c>
      <c r="C704" s="2" t="s">
        <v>32</v>
      </c>
      <c r="D704" s="2" t="s">
        <v>33</v>
      </c>
      <c r="E704" s="2">
        <v>100</v>
      </c>
      <c r="F704">
        <v>0</v>
      </c>
      <c r="G704" t="b">
        <v>0</v>
      </c>
      <c r="H704">
        <v>0</v>
      </c>
      <c r="K704" t="s">
        <v>1243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>
      <c r="A705" t="s">
        <v>1142</v>
      </c>
      <c r="B705" s="2">
        <v>0</v>
      </c>
      <c r="C705" s="2" t="s">
        <v>43</v>
      </c>
      <c r="D705" s="2" t="s">
        <v>33</v>
      </c>
      <c r="E705" s="2">
        <v>75</v>
      </c>
      <c r="F705">
        <v>0</v>
      </c>
      <c r="G705" t="b">
        <v>0</v>
      </c>
      <c r="H705">
        <v>0</v>
      </c>
      <c r="K705" t="s">
        <v>1243</v>
      </c>
      <c r="L705" t="s">
        <v>1301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>
      <c r="A706" t="s">
        <v>1194</v>
      </c>
      <c r="B706" s="2">
        <v>0</v>
      </c>
      <c r="C706" s="2" t="s">
        <v>32</v>
      </c>
      <c r="D706" s="2" t="s">
        <v>33</v>
      </c>
      <c r="E706" s="2">
        <v>100</v>
      </c>
      <c r="F706">
        <v>0</v>
      </c>
      <c r="G706" t="b">
        <v>0</v>
      </c>
      <c r="H706">
        <v>0</v>
      </c>
      <c r="K706" t="s">
        <v>1243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>
      <c r="A707" t="s">
        <v>1143</v>
      </c>
      <c r="B707" s="2">
        <v>0</v>
      </c>
      <c r="C707" s="2" t="s">
        <v>32</v>
      </c>
      <c r="D707" s="2" t="s">
        <v>33</v>
      </c>
      <c r="E707" s="2">
        <v>100</v>
      </c>
      <c r="F707">
        <v>0</v>
      </c>
      <c r="G707" t="b">
        <v>0</v>
      </c>
      <c r="H707">
        <v>0</v>
      </c>
      <c r="K707" t="s">
        <v>1243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>
      <c r="A708" t="s">
        <v>1144</v>
      </c>
      <c r="B708" s="2">
        <v>0</v>
      </c>
      <c r="C708" s="2" t="s">
        <v>34</v>
      </c>
      <c r="D708" s="2" t="s">
        <v>33</v>
      </c>
      <c r="E708" s="2">
        <v>100</v>
      </c>
      <c r="F708">
        <v>0</v>
      </c>
      <c r="G708" t="b">
        <v>0</v>
      </c>
      <c r="H708">
        <v>0</v>
      </c>
      <c r="K708" t="s">
        <v>1243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>
      <c r="A709" t="s">
        <v>1145</v>
      </c>
      <c r="B709" s="2">
        <v>0</v>
      </c>
      <c r="C709" s="2" t="s">
        <v>32</v>
      </c>
      <c r="D709" s="2" t="s">
        <v>33</v>
      </c>
      <c r="E709" s="2">
        <v>100</v>
      </c>
      <c r="F709">
        <v>0</v>
      </c>
      <c r="G709" t="b">
        <v>0</v>
      </c>
      <c r="H709">
        <v>0</v>
      </c>
      <c r="K709" t="s">
        <v>1243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>
      <c r="A710" t="s">
        <v>1195</v>
      </c>
      <c r="B710" s="2">
        <v>0</v>
      </c>
      <c r="C710" s="2" t="s">
        <v>22</v>
      </c>
      <c r="D710" s="2" t="s">
        <v>33</v>
      </c>
      <c r="E710" s="2">
        <v>100</v>
      </c>
      <c r="F710">
        <v>0</v>
      </c>
      <c r="G710" t="b">
        <v>0</v>
      </c>
      <c r="H710">
        <v>0</v>
      </c>
      <c r="K710" t="s">
        <v>1243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>
      <c r="A711" t="s">
        <v>1146</v>
      </c>
      <c r="B711" s="2">
        <v>0</v>
      </c>
      <c r="C711" s="2" t="s">
        <v>23</v>
      </c>
      <c r="D711" s="2" t="s">
        <v>33</v>
      </c>
      <c r="E711" s="2">
        <v>100</v>
      </c>
      <c r="F711">
        <v>0</v>
      </c>
      <c r="G711" t="b">
        <v>0</v>
      </c>
      <c r="H711">
        <v>0</v>
      </c>
      <c r="K711" t="s">
        <v>1243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>
      <c r="A712" t="s">
        <v>1266</v>
      </c>
      <c r="B712" s="2">
        <v>0</v>
      </c>
      <c r="C712" s="2" t="s">
        <v>43</v>
      </c>
      <c r="D712" s="2" t="s">
        <v>33</v>
      </c>
      <c r="E712" s="2">
        <v>100</v>
      </c>
      <c r="F712">
        <v>0</v>
      </c>
      <c r="G712" t="b">
        <v>0</v>
      </c>
      <c r="H712">
        <v>0</v>
      </c>
      <c r="K712" t="s">
        <v>1264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>
      <c r="A713" t="s">
        <v>1147</v>
      </c>
      <c r="B713" s="2">
        <v>0</v>
      </c>
      <c r="C713" s="2" t="s">
        <v>46</v>
      </c>
      <c r="D713" s="2" t="s">
        <v>33</v>
      </c>
      <c r="E713" s="2">
        <v>100</v>
      </c>
      <c r="F713">
        <v>0</v>
      </c>
      <c r="G713" t="b">
        <v>0</v>
      </c>
      <c r="H713">
        <v>0</v>
      </c>
      <c r="K713" t="s">
        <v>1243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>
      <c r="A714" t="s">
        <v>1148</v>
      </c>
      <c r="B714" s="2">
        <v>0</v>
      </c>
      <c r="C714" s="2" t="s">
        <v>32</v>
      </c>
      <c r="D714" s="2" t="s">
        <v>33</v>
      </c>
      <c r="E714" s="2">
        <v>100</v>
      </c>
      <c r="F714">
        <v>0</v>
      </c>
      <c r="G714" t="b">
        <v>0</v>
      </c>
      <c r="H714">
        <v>0</v>
      </c>
      <c r="K714" t="s">
        <v>1243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>
      <c r="A715" t="s">
        <v>1196</v>
      </c>
      <c r="B715" s="2">
        <v>0</v>
      </c>
      <c r="C715" s="2" t="s">
        <v>43</v>
      </c>
      <c r="D715" s="2" t="s">
        <v>33</v>
      </c>
      <c r="E715" s="2">
        <v>100</v>
      </c>
      <c r="F715">
        <v>0</v>
      </c>
      <c r="G715" t="b">
        <v>0</v>
      </c>
      <c r="H715">
        <v>0</v>
      </c>
      <c r="K715" t="s">
        <v>1243</v>
      </c>
      <c r="L715" t="s">
        <v>1301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>
      <c r="A716" t="s">
        <v>755</v>
      </c>
      <c r="B716" s="2">
        <v>0</v>
      </c>
      <c r="C716" s="2" t="s">
        <v>25</v>
      </c>
      <c r="D716" s="2" t="s">
        <v>33</v>
      </c>
      <c r="E716" s="2">
        <v>100</v>
      </c>
      <c r="F716">
        <v>0</v>
      </c>
      <c r="G716" t="b">
        <v>0</v>
      </c>
      <c r="H716">
        <v>0</v>
      </c>
      <c r="K716" t="s">
        <v>1243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>
      <c r="A717" t="s">
        <v>1149</v>
      </c>
      <c r="B717" s="2">
        <v>0</v>
      </c>
      <c r="C717" s="2" t="s">
        <v>21</v>
      </c>
      <c r="D717" s="2" t="s">
        <v>33</v>
      </c>
      <c r="E717" s="2">
        <v>100</v>
      </c>
      <c r="F717">
        <v>0</v>
      </c>
      <c r="G717" t="b">
        <v>0</v>
      </c>
      <c r="H717">
        <v>0</v>
      </c>
      <c r="K717" t="s">
        <v>1243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>
      <c r="A718" t="s">
        <v>694</v>
      </c>
      <c r="B718" s="2">
        <v>0</v>
      </c>
      <c r="C718" s="2" t="s">
        <v>32</v>
      </c>
      <c r="D718" s="2" t="s">
        <v>33</v>
      </c>
      <c r="E718" s="2">
        <v>100</v>
      </c>
      <c r="F718">
        <v>0</v>
      </c>
      <c r="G718" t="b">
        <v>0</v>
      </c>
      <c r="H718">
        <v>0</v>
      </c>
      <c r="K718" t="s">
        <v>1243</v>
      </c>
      <c r="M718">
        <v>1</v>
      </c>
      <c r="N718">
        <v>0</v>
      </c>
      <c r="O718">
        <v>1</v>
      </c>
      <c r="P718">
        <v>0</v>
      </c>
      <c r="Q718">
        <v>1</v>
      </c>
      <c r="R718">
        <v>0</v>
      </c>
    </row>
    <row r="719" spans="1:18">
      <c r="A719" t="s">
        <v>1150</v>
      </c>
      <c r="B719" s="2">
        <v>0</v>
      </c>
      <c r="C719" s="2" t="s">
        <v>43</v>
      </c>
      <c r="D719" s="2" t="s">
        <v>33</v>
      </c>
      <c r="E719" s="2">
        <v>100</v>
      </c>
      <c r="F719">
        <v>0</v>
      </c>
      <c r="G719" t="b">
        <v>0</v>
      </c>
      <c r="H719">
        <v>0</v>
      </c>
      <c r="K719" t="s">
        <v>1243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>
      <c r="A720" t="s">
        <v>1151</v>
      </c>
      <c r="B720" s="2">
        <v>0</v>
      </c>
      <c r="C720" s="2" t="s">
        <v>21</v>
      </c>
      <c r="D720" s="2" t="s">
        <v>33</v>
      </c>
      <c r="E720" s="2">
        <v>95</v>
      </c>
      <c r="F720">
        <v>0</v>
      </c>
      <c r="G720" t="b">
        <v>0</v>
      </c>
      <c r="H720">
        <v>0</v>
      </c>
      <c r="K720" t="s">
        <v>1243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>
      <c r="A721" t="s">
        <v>1197</v>
      </c>
      <c r="B721" s="2">
        <v>0</v>
      </c>
      <c r="C721" s="2" t="s">
        <v>32</v>
      </c>
      <c r="D721" s="2" t="s">
        <v>33</v>
      </c>
      <c r="E721" s="2">
        <v>100</v>
      </c>
      <c r="F721">
        <v>0</v>
      </c>
      <c r="G721" t="b">
        <v>0</v>
      </c>
      <c r="H721">
        <v>0</v>
      </c>
      <c r="K721" t="s">
        <v>1243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>
      <c r="A722" t="s">
        <v>1152</v>
      </c>
      <c r="B722" s="2">
        <v>0</v>
      </c>
      <c r="C722" s="2" t="s">
        <v>43</v>
      </c>
      <c r="D722" s="2" t="s">
        <v>33</v>
      </c>
      <c r="E722" s="2">
        <v>75</v>
      </c>
      <c r="F722">
        <v>0</v>
      </c>
      <c r="G722" t="b">
        <v>0</v>
      </c>
      <c r="H722">
        <v>0</v>
      </c>
      <c r="K722" t="s">
        <v>1243</v>
      </c>
      <c r="L722" t="s">
        <v>1300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>
      <c r="A723" t="s">
        <v>1153</v>
      </c>
      <c r="B723" s="2">
        <v>0</v>
      </c>
      <c r="C723" s="2" t="s">
        <v>32</v>
      </c>
      <c r="D723" s="2" t="s">
        <v>33</v>
      </c>
      <c r="E723" s="2">
        <v>100</v>
      </c>
      <c r="F723">
        <v>0</v>
      </c>
      <c r="G723" t="b">
        <v>0</v>
      </c>
      <c r="H723">
        <v>0</v>
      </c>
      <c r="K723" t="s">
        <v>1243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>
      <c r="A724" t="s">
        <v>776</v>
      </c>
      <c r="B724" s="2">
        <v>0</v>
      </c>
      <c r="C724" s="2" t="s">
        <v>19</v>
      </c>
      <c r="D724" s="2" t="s">
        <v>33</v>
      </c>
      <c r="E724" s="2">
        <v>100</v>
      </c>
      <c r="F724">
        <v>0</v>
      </c>
      <c r="G724" t="b">
        <v>0</v>
      </c>
      <c r="H724">
        <v>0</v>
      </c>
      <c r="K724" t="s">
        <v>1243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>
      <c r="A725" t="s">
        <v>1021</v>
      </c>
      <c r="B725" s="2">
        <v>0</v>
      </c>
      <c r="C725" s="2" t="s">
        <v>32</v>
      </c>
      <c r="D725" s="2" t="s">
        <v>33</v>
      </c>
      <c r="E725" s="2">
        <v>55</v>
      </c>
      <c r="F725">
        <v>0</v>
      </c>
      <c r="G725" t="b">
        <v>0</v>
      </c>
      <c r="H725">
        <v>0</v>
      </c>
      <c r="K725" t="s">
        <v>1243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>
      <c r="A726" t="s">
        <v>719</v>
      </c>
      <c r="B726" s="2">
        <v>0</v>
      </c>
      <c r="C726" s="2" t="s">
        <v>32</v>
      </c>
      <c r="D726" s="2" t="s">
        <v>33</v>
      </c>
      <c r="E726" s="2">
        <v>85</v>
      </c>
      <c r="F726">
        <v>0</v>
      </c>
      <c r="G726" t="b">
        <v>0</v>
      </c>
      <c r="H726">
        <v>0</v>
      </c>
      <c r="K726" t="s">
        <v>1243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>
      <c r="A727" t="s">
        <v>1198</v>
      </c>
      <c r="B727" s="2">
        <v>0</v>
      </c>
      <c r="C727" s="2" t="s">
        <v>32</v>
      </c>
      <c r="D727" s="2" t="s">
        <v>33</v>
      </c>
      <c r="E727" s="2">
        <v>100</v>
      </c>
      <c r="F727">
        <v>0</v>
      </c>
      <c r="G727" t="b">
        <v>0</v>
      </c>
      <c r="H727">
        <v>0</v>
      </c>
      <c r="K727" t="s">
        <v>1243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>
      <c r="A728" t="s">
        <v>1037</v>
      </c>
      <c r="B728" s="2">
        <v>0</v>
      </c>
      <c r="C728" s="2" t="s">
        <v>44</v>
      </c>
      <c r="D728" s="2" t="s">
        <v>33</v>
      </c>
      <c r="E728" s="2">
        <v>75</v>
      </c>
      <c r="F728">
        <v>0</v>
      </c>
      <c r="G728" t="b">
        <v>0</v>
      </c>
      <c r="H728">
        <v>0</v>
      </c>
      <c r="K728" t="s">
        <v>1243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>
      <c r="A729" t="s">
        <v>1154</v>
      </c>
      <c r="B729" s="2">
        <v>0</v>
      </c>
      <c r="C729" s="2" t="s">
        <v>32</v>
      </c>
      <c r="D729" s="2" t="s">
        <v>33</v>
      </c>
      <c r="E729" s="2">
        <v>100</v>
      </c>
      <c r="F729">
        <v>0</v>
      </c>
      <c r="G729" t="b">
        <v>0</v>
      </c>
      <c r="H729">
        <v>0</v>
      </c>
      <c r="K729" t="s">
        <v>1243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>
      <c r="A730" t="s">
        <v>1199</v>
      </c>
      <c r="B730" s="2">
        <v>0</v>
      </c>
      <c r="C730" s="2" t="s">
        <v>38</v>
      </c>
      <c r="D730" s="2" t="s">
        <v>33</v>
      </c>
      <c r="E730" s="2">
        <v>100</v>
      </c>
      <c r="F730">
        <v>0</v>
      </c>
      <c r="G730" t="b">
        <v>0</v>
      </c>
      <c r="H730">
        <v>0</v>
      </c>
      <c r="K730" t="s">
        <v>1243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>
      <c r="A731" t="s">
        <v>26</v>
      </c>
      <c r="B731" s="2">
        <v>0</v>
      </c>
      <c r="C731" s="2" t="s">
        <v>32</v>
      </c>
      <c r="D731" s="2" t="s">
        <v>33</v>
      </c>
      <c r="E731" s="2">
        <v>100</v>
      </c>
      <c r="F731">
        <v>0</v>
      </c>
      <c r="G731" t="b">
        <v>0</v>
      </c>
      <c r="H731">
        <v>0</v>
      </c>
      <c r="K731" t="s">
        <v>1243</v>
      </c>
      <c r="M731">
        <v>1</v>
      </c>
      <c r="N731">
        <v>2</v>
      </c>
      <c r="O731">
        <v>0</v>
      </c>
      <c r="P731">
        <v>0</v>
      </c>
      <c r="Q731">
        <v>0</v>
      </c>
      <c r="R731">
        <v>0</v>
      </c>
    </row>
    <row r="732" spans="1:18">
      <c r="A732" t="s">
        <v>1200</v>
      </c>
      <c r="B732" s="2">
        <v>0</v>
      </c>
      <c r="C732" s="2" t="s">
        <v>43</v>
      </c>
      <c r="D732" s="2" t="s">
        <v>33</v>
      </c>
      <c r="E732" s="2">
        <v>100</v>
      </c>
      <c r="F732">
        <v>0</v>
      </c>
      <c r="G732" t="b">
        <v>0</v>
      </c>
      <c r="H732">
        <v>0</v>
      </c>
      <c r="K732" t="s">
        <v>1243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>
      <c r="A733" t="s">
        <v>1155</v>
      </c>
      <c r="B733" s="2">
        <v>0</v>
      </c>
      <c r="C733" s="2" t="s">
        <v>32</v>
      </c>
      <c r="D733" s="2" t="s">
        <v>33</v>
      </c>
      <c r="E733" s="2">
        <v>100</v>
      </c>
      <c r="F733">
        <v>0</v>
      </c>
      <c r="G733" t="b">
        <v>0</v>
      </c>
      <c r="H733">
        <v>0</v>
      </c>
      <c r="K733" t="s">
        <v>1243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>
      <c r="A734" t="s">
        <v>119</v>
      </c>
      <c r="B734" s="2">
        <v>0</v>
      </c>
      <c r="C734" s="2" t="s">
        <v>35</v>
      </c>
      <c r="D734" s="2" t="s">
        <v>33</v>
      </c>
      <c r="E734" s="2">
        <v>100</v>
      </c>
      <c r="F734">
        <v>0</v>
      </c>
      <c r="G734" t="b">
        <v>0</v>
      </c>
      <c r="H734">
        <v>0</v>
      </c>
      <c r="K734" t="s">
        <v>1243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>
      <c r="A735" t="s">
        <v>1201</v>
      </c>
      <c r="B735" s="2">
        <v>0</v>
      </c>
      <c r="C735" s="2" t="s">
        <v>25</v>
      </c>
      <c r="D735" s="2" t="s">
        <v>33</v>
      </c>
      <c r="E735" s="2">
        <v>100</v>
      </c>
      <c r="F735">
        <v>0</v>
      </c>
      <c r="G735" t="b">
        <v>0</v>
      </c>
      <c r="H735">
        <v>0</v>
      </c>
      <c r="K735" t="s">
        <v>1243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>
      <c r="A736" t="s">
        <v>687</v>
      </c>
      <c r="B736" s="2">
        <v>0</v>
      </c>
      <c r="C736" s="2" t="s">
        <v>32</v>
      </c>
      <c r="D736" s="2" t="s">
        <v>33</v>
      </c>
      <c r="E736" s="2">
        <v>100</v>
      </c>
      <c r="F736">
        <v>0</v>
      </c>
      <c r="G736" t="b">
        <v>0</v>
      </c>
      <c r="H736">
        <v>0</v>
      </c>
      <c r="K736" t="s">
        <v>1243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>
      <c r="A737" t="s">
        <v>1156</v>
      </c>
      <c r="B737" s="2">
        <v>0</v>
      </c>
      <c r="C737" s="2" t="s">
        <v>32</v>
      </c>
      <c r="D737" s="2" t="s">
        <v>33</v>
      </c>
      <c r="E737" s="2">
        <v>100</v>
      </c>
      <c r="F737">
        <v>0</v>
      </c>
      <c r="G737" t="b">
        <v>0</v>
      </c>
      <c r="H737">
        <v>0</v>
      </c>
      <c r="K737" t="s">
        <v>1243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>
      <c r="A738" t="s">
        <v>784</v>
      </c>
      <c r="B738" s="2">
        <v>0</v>
      </c>
      <c r="C738" s="2" t="s">
        <v>32</v>
      </c>
      <c r="D738" s="2" t="s">
        <v>33</v>
      </c>
      <c r="E738" s="2">
        <v>100</v>
      </c>
      <c r="F738">
        <v>0</v>
      </c>
      <c r="G738" t="b">
        <v>0</v>
      </c>
      <c r="H738">
        <v>0</v>
      </c>
      <c r="K738" t="s">
        <v>1243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>
      <c r="A739" t="s">
        <v>1157</v>
      </c>
      <c r="B739" s="2">
        <v>0</v>
      </c>
      <c r="C739" s="2" t="s">
        <v>22</v>
      </c>
      <c r="D739" s="2" t="s">
        <v>33</v>
      </c>
      <c r="E739" s="2">
        <v>100</v>
      </c>
      <c r="F739">
        <v>0</v>
      </c>
      <c r="G739" t="b">
        <v>0</v>
      </c>
      <c r="H739">
        <v>-7</v>
      </c>
      <c r="K739" t="s">
        <v>1243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>
      <c r="A740" t="s">
        <v>1158</v>
      </c>
      <c r="B740" s="2">
        <v>0</v>
      </c>
      <c r="C740" s="2" t="s">
        <v>41</v>
      </c>
      <c r="D740" s="2" t="s">
        <v>33</v>
      </c>
      <c r="E740" s="2">
        <v>90</v>
      </c>
      <c r="F740">
        <v>0</v>
      </c>
      <c r="G740" t="b">
        <v>0</v>
      </c>
      <c r="H740">
        <v>0</v>
      </c>
      <c r="K740" t="s">
        <v>1243</v>
      </c>
      <c r="L740" t="s">
        <v>1300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>
      <c r="A741" t="s">
        <v>985</v>
      </c>
      <c r="B741" s="2">
        <v>0</v>
      </c>
      <c r="C741" s="2" t="s">
        <v>32</v>
      </c>
      <c r="D741" s="2" t="s">
        <v>33</v>
      </c>
      <c r="E741" s="2">
        <v>100</v>
      </c>
      <c r="F741">
        <v>0</v>
      </c>
      <c r="G741" t="b">
        <v>0</v>
      </c>
      <c r="H741">
        <v>0</v>
      </c>
      <c r="K741" t="s">
        <v>1243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>
      <c r="A742" t="s">
        <v>1202</v>
      </c>
      <c r="B742" s="2">
        <v>0</v>
      </c>
      <c r="C742" s="2" t="s">
        <v>38</v>
      </c>
      <c r="D742" s="2" t="s">
        <v>33</v>
      </c>
      <c r="E742" s="2">
        <v>100</v>
      </c>
      <c r="F742">
        <v>0</v>
      </c>
      <c r="G742" t="b">
        <v>0</v>
      </c>
      <c r="H742">
        <v>0</v>
      </c>
      <c r="K742" t="s">
        <v>1243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>
      <c r="A743" t="s">
        <v>733</v>
      </c>
      <c r="B743" s="2">
        <v>0</v>
      </c>
      <c r="C743" s="2" t="s">
        <v>38</v>
      </c>
      <c r="D743" s="2" t="s">
        <v>33</v>
      </c>
      <c r="E743" s="2">
        <v>100</v>
      </c>
      <c r="F743">
        <v>0</v>
      </c>
      <c r="G743" t="b">
        <v>0</v>
      </c>
      <c r="H743">
        <v>0</v>
      </c>
      <c r="K743" t="s">
        <v>1243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>
      <c r="A744" t="s">
        <v>736</v>
      </c>
      <c r="B744" s="2">
        <v>0</v>
      </c>
      <c r="C744" s="2" t="s">
        <v>53</v>
      </c>
      <c r="D744" s="2" t="s">
        <v>33</v>
      </c>
      <c r="E744" s="2">
        <v>90</v>
      </c>
      <c r="F744">
        <v>0</v>
      </c>
      <c r="G744" t="b">
        <v>0</v>
      </c>
      <c r="H744">
        <v>0</v>
      </c>
      <c r="K744" t="s">
        <v>1243</v>
      </c>
      <c r="L744" t="s">
        <v>53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>
      <c r="A745" t="s">
        <v>1159</v>
      </c>
      <c r="B745" s="2">
        <v>0</v>
      </c>
      <c r="C745" s="2" t="s">
        <v>53</v>
      </c>
      <c r="D745" s="2" t="s">
        <v>33</v>
      </c>
      <c r="E745" s="2">
        <v>100</v>
      </c>
      <c r="F745">
        <v>0</v>
      </c>
      <c r="G745" t="b">
        <v>0</v>
      </c>
      <c r="H745">
        <v>0</v>
      </c>
      <c r="K745" t="s">
        <v>1243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>
      <c r="A746" t="s">
        <v>1203</v>
      </c>
      <c r="B746" s="2">
        <v>0</v>
      </c>
      <c r="C746" s="2" t="s">
        <v>53</v>
      </c>
      <c r="D746" s="2" t="s">
        <v>33</v>
      </c>
      <c r="E746" s="2">
        <v>100</v>
      </c>
      <c r="F746">
        <v>0</v>
      </c>
      <c r="G746" t="b">
        <v>0</v>
      </c>
      <c r="H746">
        <v>0</v>
      </c>
      <c r="K746" t="s">
        <v>1243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>
      <c r="A747" t="s">
        <v>1204</v>
      </c>
      <c r="B747" s="2">
        <v>0</v>
      </c>
      <c r="C747" s="2" t="s">
        <v>32</v>
      </c>
      <c r="D747" s="2" t="s">
        <v>33</v>
      </c>
      <c r="E747" s="2">
        <v>100</v>
      </c>
      <c r="F747">
        <v>0</v>
      </c>
      <c r="G747" t="b">
        <v>0</v>
      </c>
      <c r="H747">
        <v>0</v>
      </c>
      <c r="K747" t="s">
        <v>1243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>
      <c r="A748" t="s">
        <v>1205</v>
      </c>
      <c r="B748" s="2">
        <v>0</v>
      </c>
      <c r="C748" s="2" t="s">
        <v>46</v>
      </c>
      <c r="D748" s="2" t="s">
        <v>33</v>
      </c>
      <c r="E748" s="2">
        <v>100</v>
      </c>
      <c r="F748">
        <v>0</v>
      </c>
      <c r="G748" t="b">
        <v>0</v>
      </c>
      <c r="H748">
        <v>0</v>
      </c>
      <c r="K748" t="s">
        <v>1243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>
      <c r="A749" t="s">
        <v>1206</v>
      </c>
      <c r="B749" s="2">
        <v>0</v>
      </c>
      <c r="C749" s="2" t="s">
        <v>32</v>
      </c>
      <c r="D749" s="2" t="s">
        <v>33</v>
      </c>
      <c r="E749" s="2">
        <v>100</v>
      </c>
      <c r="F749">
        <v>0</v>
      </c>
      <c r="G749" t="b">
        <v>0</v>
      </c>
      <c r="H749">
        <v>-7</v>
      </c>
      <c r="K749" t="s">
        <v>1243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>
      <c r="A750" t="s">
        <v>1160</v>
      </c>
      <c r="B750" s="2">
        <v>0</v>
      </c>
      <c r="C750" s="2" t="s">
        <v>25</v>
      </c>
      <c r="D750" s="2" t="s">
        <v>33</v>
      </c>
      <c r="E750" s="2">
        <v>100</v>
      </c>
      <c r="F750">
        <v>0</v>
      </c>
      <c r="G750" t="b">
        <v>0</v>
      </c>
      <c r="H750">
        <v>3</v>
      </c>
      <c r="K750" t="s">
        <v>1243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>
      <c r="A751" t="s">
        <v>666</v>
      </c>
      <c r="B751" s="2">
        <v>0</v>
      </c>
      <c r="C751" s="2" t="s">
        <v>19</v>
      </c>
      <c r="D751" s="2" t="s">
        <v>33</v>
      </c>
      <c r="E751" s="2">
        <v>85</v>
      </c>
      <c r="F751">
        <v>0</v>
      </c>
      <c r="G751" t="b">
        <v>0</v>
      </c>
      <c r="H751">
        <v>0</v>
      </c>
      <c r="K751" t="s">
        <v>1243</v>
      </c>
      <c r="L751" t="s">
        <v>1302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>
      <c r="A752" t="s">
        <v>1161</v>
      </c>
      <c r="B752" s="2">
        <v>0</v>
      </c>
      <c r="C752" s="2" t="s">
        <v>34</v>
      </c>
      <c r="D752" s="2" t="s">
        <v>33</v>
      </c>
      <c r="E752" s="2">
        <v>100</v>
      </c>
      <c r="F752">
        <v>0</v>
      </c>
      <c r="G752" t="b">
        <v>0</v>
      </c>
      <c r="H752">
        <v>0</v>
      </c>
      <c r="K752" t="s">
        <v>1243</v>
      </c>
      <c r="M752">
        <v>1</v>
      </c>
      <c r="N752">
        <v>0</v>
      </c>
      <c r="O752">
        <v>1</v>
      </c>
      <c r="P752">
        <v>0</v>
      </c>
      <c r="Q752">
        <v>0</v>
      </c>
      <c r="R752">
        <v>0</v>
      </c>
    </row>
    <row r="753" spans="1:18">
      <c r="A753" t="s">
        <v>756</v>
      </c>
      <c r="B753" s="2">
        <v>0</v>
      </c>
      <c r="C753" s="2" t="s">
        <v>22</v>
      </c>
      <c r="D753" s="2" t="s">
        <v>33</v>
      </c>
      <c r="E753" s="2">
        <v>100</v>
      </c>
      <c r="F753">
        <v>0</v>
      </c>
      <c r="G753" t="b">
        <v>0</v>
      </c>
      <c r="H753">
        <v>0</v>
      </c>
      <c r="K753" t="s">
        <v>1243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>
      <c r="A754" t="s">
        <v>707</v>
      </c>
      <c r="B754" s="2">
        <v>0</v>
      </c>
      <c r="C754" s="2" t="s">
        <v>32</v>
      </c>
      <c r="D754" s="2" t="s">
        <v>33</v>
      </c>
      <c r="E754" s="2">
        <v>100</v>
      </c>
      <c r="F754">
        <v>0</v>
      </c>
      <c r="G754" t="b">
        <v>0</v>
      </c>
      <c r="H754">
        <v>0</v>
      </c>
      <c r="K754" t="s">
        <v>1243</v>
      </c>
      <c r="M754">
        <v>1</v>
      </c>
      <c r="N754">
        <v>1</v>
      </c>
      <c r="O754">
        <v>0</v>
      </c>
      <c r="P754">
        <v>1</v>
      </c>
      <c r="Q754">
        <v>0</v>
      </c>
      <c r="R754">
        <v>0</v>
      </c>
    </row>
    <row r="755" spans="1:18">
      <c r="A755" t="s">
        <v>1162</v>
      </c>
      <c r="B755" s="2">
        <v>0</v>
      </c>
      <c r="C755" s="2" t="s">
        <v>43</v>
      </c>
      <c r="D755" s="2" t="s">
        <v>33</v>
      </c>
      <c r="E755" s="2">
        <v>100</v>
      </c>
      <c r="F755">
        <v>0</v>
      </c>
      <c r="G755" t="b">
        <v>0</v>
      </c>
      <c r="H755">
        <v>0</v>
      </c>
      <c r="K755" t="s">
        <v>1243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</row>
  </sheetData>
  <conditionalFormatting sqref="D2:D755">
    <cfRule type="expression" dxfId="142" priority="1">
      <formula>D2="Physical"</formula>
    </cfRule>
    <cfRule type="expression" dxfId="141" priority="2">
      <formula>D2="Special"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EBAD-4773-4129-BFED-854E409BE28D}">
  <dimension ref="A1:S19"/>
  <sheetViews>
    <sheetView workbookViewId="0">
      <selection activeCell="I2" sqref="I2"/>
    </sheetView>
  </sheetViews>
  <sheetFormatPr defaultRowHeight="15"/>
  <cols>
    <col min="1" max="1" width="32.5703125" bestFit="1" customWidth="1"/>
    <col min="2" max="2" width="9.85546875" customWidth="1"/>
    <col min="3" max="3" width="6.7109375" bestFit="1" customWidth="1"/>
    <col min="4" max="4" width="8.7109375" bestFit="1" customWidth="1"/>
    <col min="5" max="5" width="10.140625" bestFit="1" customWidth="1"/>
    <col min="6" max="6" width="8.42578125" bestFit="1" customWidth="1"/>
    <col min="7" max="7" width="6" bestFit="1" customWidth="1"/>
    <col min="8" max="8" width="10.28515625" bestFit="1" customWidth="1"/>
    <col min="9" max="10" width="10" bestFit="1" customWidth="1"/>
    <col min="11" max="11" width="8.5703125" bestFit="1" customWidth="1"/>
    <col min="12" max="12" width="10.140625" bestFit="1" customWidth="1"/>
    <col min="13" max="13" width="6.5703125" bestFit="1" customWidth="1"/>
    <col min="14" max="14" width="7.7109375" bestFit="1" customWidth="1"/>
    <col min="15" max="15" width="8.7109375" bestFit="1" customWidth="1"/>
    <col min="16" max="16" width="9.7109375" bestFit="1" customWidth="1"/>
    <col min="17" max="17" width="7.42578125" bestFit="1" customWidth="1"/>
    <col min="18" max="18" width="8" bestFit="1" customWidth="1"/>
    <col min="19" max="19" width="7.5703125" bestFit="1" customWidth="1"/>
  </cols>
  <sheetData>
    <row r="1" spans="1:19">
      <c r="A1" t="s">
        <v>52</v>
      </c>
      <c r="B1" t="s">
        <v>32</v>
      </c>
      <c r="C1" t="s">
        <v>19</v>
      </c>
      <c r="D1" t="s">
        <v>34</v>
      </c>
      <c r="E1" t="s">
        <v>41</v>
      </c>
      <c r="F1" t="s">
        <v>43</v>
      </c>
      <c r="G1" t="s">
        <v>40</v>
      </c>
      <c r="H1" t="s">
        <v>20</v>
      </c>
      <c r="I1" t="s">
        <v>53</v>
      </c>
      <c r="J1" t="s">
        <v>23</v>
      </c>
      <c r="K1" t="s">
        <v>35</v>
      </c>
      <c r="L1" t="s">
        <v>22</v>
      </c>
      <c r="M1" t="s">
        <v>21</v>
      </c>
      <c r="N1" t="s">
        <v>25</v>
      </c>
      <c r="O1" t="s">
        <v>46</v>
      </c>
      <c r="P1" t="s">
        <v>47</v>
      </c>
      <c r="Q1" t="s">
        <v>38</v>
      </c>
      <c r="R1" t="s">
        <v>24</v>
      </c>
      <c r="S1" t="s">
        <v>44</v>
      </c>
    </row>
    <row r="2" spans="1:19">
      <c r="A2" t="s">
        <v>32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0.5</v>
      </c>
      <c r="O2">
        <v>0</v>
      </c>
      <c r="P2">
        <v>1</v>
      </c>
      <c r="Q2">
        <v>1</v>
      </c>
      <c r="R2">
        <v>0.5</v>
      </c>
      <c r="S2">
        <v>1</v>
      </c>
    </row>
    <row r="3" spans="1:19">
      <c r="A3" t="s">
        <v>19</v>
      </c>
      <c r="B3">
        <v>1</v>
      </c>
      <c r="C3">
        <v>0.5</v>
      </c>
      <c r="D3">
        <v>0.5</v>
      </c>
      <c r="E3">
        <v>1</v>
      </c>
      <c r="F3">
        <v>2</v>
      </c>
      <c r="G3">
        <v>2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0.5</v>
      </c>
      <c r="O3">
        <v>1</v>
      </c>
      <c r="P3">
        <v>0.5</v>
      </c>
      <c r="Q3">
        <v>1</v>
      </c>
      <c r="R3">
        <v>2</v>
      </c>
      <c r="S3">
        <v>1</v>
      </c>
    </row>
    <row r="4" spans="1:19">
      <c r="A4" t="s">
        <v>34</v>
      </c>
      <c r="B4">
        <v>1</v>
      </c>
      <c r="C4">
        <v>2</v>
      </c>
      <c r="D4">
        <v>0.5</v>
      </c>
      <c r="E4">
        <v>1</v>
      </c>
      <c r="F4">
        <v>0.5</v>
      </c>
      <c r="G4">
        <v>1</v>
      </c>
      <c r="H4">
        <v>1</v>
      </c>
      <c r="I4">
        <v>1</v>
      </c>
      <c r="J4">
        <v>2</v>
      </c>
      <c r="K4">
        <v>1</v>
      </c>
      <c r="L4">
        <v>1</v>
      </c>
      <c r="M4">
        <v>1</v>
      </c>
      <c r="N4">
        <v>2</v>
      </c>
      <c r="O4">
        <v>1</v>
      </c>
      <c r="P4">
        <v>0.5</v>
      </c>
      <c r="Q4">
        <v>1</v>
      </c>
      <c r="R4">
        <v>1</v>
      </c>
      <c r="S4">
        <v>1</v>
      </c>
    </row>
    <row r="5" spans="1:19">
      <c r="A5" t="s">
        <v>41</v>
      </c>
      <c r="B5">
        <v>1</v>
      </c>
      <c r="C5">
        <v>1</v>
      </c>
      <c r="D5">
        <v>2</v>
      </c>
      <c r="E5">
        <v>0.5</v>
      </c>
      <c r="F5">
        <v>0.5</v>
      </c>
      <c r="G5">
        <v>1</v>
      </c>
      <c r="H5">
        <v>1</v>
      </c>
      <c r="I5">
        <v>1</v>
      </c>
      <c r="J5">
        <v>0</v>
      </c>
      <c r="K5">
        <v>2</v>
      </c>
      <c r="L5">
        <v>1</v>
      </c>
      <c r="M5">
        <v>1</v>
      </c>
      <c r="N5">
        <v>1</v>
      </c>
      <c r="O5">
        <v>1</v>
      </c>
      <c r="P5">
        <v>0.5</v>
      </c>
      <c r="Q5">
        <v>1</v>
      </c>
      <c r="R5">
        <v>1</v>
      </c>
      <c r="S5">
        <v>1</v>
      </c>
    </row>
    <row r="6" spans="1:19">
      <c r="A6" t="s">
        <v>43</v>
      </c>
      <c r="B6">
        <v>1</v>
      </c>
      <c r="C6">
        <v>0.5</v>
      </c>
      <c r="D6">
        <v>2</v>
      </c>
      <c r="E6">
        <v>1</v>
      </c>
      <c r="F6">
        <v>0.5</v>
      </c>
      <c r="G6">
        <v>1</v>
      </c>
      <c r="H6">
        <v>1</v>
      </c>
      <c r="I6">
        <v>0.5</v>
      </c>
      <c r="J6">
        <v>2</v>
      </c>
      <c r="K6">
        <v>0.5</v>
      </c>
      <c r="L6">
        <v>1</v>
      </c>
      <c r="M6">
        <v>0.5</v>
      </c>
      <c r="N6">
        <v>2</v>
      </c>
      <c r="O6">
        <v>1</v>
      </c>
      <c r="P6">
        <v>0.5</v>
      </c>
      <c r="Q6">
        <v>1</v>
      </c>
      <c r="R6">
        <v>0.5</v>
      </c>
      <c r="S6">
        <v>1</v>
      </c>
    </row>
    <row r="7" spans="1:19">
      <c r="A7" t="s">
        <v>40</v>
      </c>
      <c r="B7">
        <v>1</v>
      </c>
      <c r="C7">
        <v>0.5</v>
      </c>
      <c r="D7">
        <v>0.5</v>
      </c>
      <c r="E7">
        <v>1</v>
      </c>
      <c r="F7">
        <v>2</v>
      </c>
      <c r="G7">
        <v>0.5</v>
      </c>
      <c r="H7">
        <v>1</v>
      </c>
      <c r="I7">
        <v>1</v>
      </c>
      <c r="J7">
        <v>2</v>
      </c>
      <c r="K7">
        <v>2</v>
      </c>
      <c r="L7">
        <v>1</v>
      </c>
      <c r="M7">
        <v>1</v>
      </c>
      <c r="N7">
        <v>1</v>
      </c>
      <c r="O7">
        <v>1</v>
      </c>
      <c r="P7">
        <v>2</v>
      </c>
      <c r="Q7">
        <v>1</v>
      </c>
      <c r="R7">
        <v>0.5</v>
      </c>
      <c r="S7">
        <v>1</v>
      </c>
    </row>
    <row r="8" spans="1:19">
      <c r="A8" t="s">
        <v>20</v>
      </c>
      <c r="B8">
        <v>2</v>
      </c>
      <c r="C8">
        <v>1</v>
      </c>
      <c r="D8">
        <v>1</v>
      </c>
      <c r="E8">
        <v>1</v>
      </c>
      <c r="F8">
        <v>1</v>
      </c>
      <c r="G8">
        <v>2</v>
      </c>
      <c r="H8">
        <v>1</v>
      </c>
      <c r="I8">
        <v>0.5</v>
      </c>
      <c r="J8">
        <v>1</v>
      </c>
      <c r="K8">
        <v>0.5</v>
      </c>
      <c r="L8">
        <v>0.5</v>
      </c>
      <c r="M8">
        <v>0.5</v>
      </c>
      <c r="N8">
        <v>2</v>
      </c>
      <c r="O8">
        <v>0</v>
      </c>
      <c r="P8">
        <v>1</v>
      </c>
      <c r="Q8">
        <v>2</v>
      </c>
      <c r="R8">
        <v>2</v>
      </c>
      <c r="S8">
        <v>0.5</v>
      </c>
    </row>
    <row r="9" spans="1:19">
      <c r="A9" t="s">
        <v>53</v>
      </c>
      <c r="B9">
        <v>1</v>
      </c>
      <c r="C9">
        <v>1</v>
      </c>
      <c r="D9">
        <v>1</v>
      </c>
      <c r="E9">
        <v>1</v>
      </c>
      <c r="F9">
        <v>2</v>
      </c>
      <c r="G9">
        <v>1</v>
      </c>
      <c r="H9">
        <v>1</v>
      </c>
      <c r="I9">
        <v>0.5</v>
      </c>
      <c r="J9">
        <v>0.5</v>
      </c>
      <c r="K9">
        <v>1</v>
      </c>
      <c r="L9">
        <v>1</v>
      </c>
      <c r="M9">
        <v>1</v>
      </c>
      <c r="N9">
        <v>0.5</v>
      </c>
      <c r="O9">
        <v>0.5</v>
      </c>
      <c r="P9">
        <v>1</v>
      </c>
      <c r="Q9">
        <v>1</v>
      </c>
      <c r="R9">
        <v>0</v>
      </c>
      <c r="S9">
        <v>2</v>
      </c>
    </row>
    <row r="10" spans="1:19">
      <c r="A10" t="s">
        <v>23</v>
      </c>
      <c r="B10">
        <v>1</v>
      </c>
      <c r="C10">
        <v>2</v>
      </c>
      <c r="D10">
        <v>1</v>
      </c>
      <c r="E10">
        <v>2</v>
      </c>
      <c r="F10">
        <v>1</v>
      </c>
      <c r="G10">
        <v>1</v>
      </c>
      <c r="H10">
        <v>1</v>
      </c>
      <c r="I10">
        <v>2</v>
      </c>
      <c r="J10">
        <v>1</v>
      </c>
      <c r="K10">
        <v>0</v>
      </c>
      <c r="L10">
        <v>1</v>
      </c>
      <c r="M10">
        <v>0.5</v>
      </c>
      <c r="N10">
        <v>2</v>
      </c>
      <c r="O10">
        <v>1</v>
      </c>
      <c r="P10">
        <v>1</v>
      </c>
      <c r="Q10">
        <v>1</v>
      </c>
      <c r="R10">
        <v>2</v>
      </c>
      <c r="S10">
        <v>1</v>
      </c>
    </row>
    <row r="11" spans="1:19">
      <c r="A11" t="s">
        <v>35</v>
      </c>
      <c r="B11">
        <v>1</v>
      </c>
      <c r="C11">
        <v>1</v>
      </c>
      <c r="D11">
        <v>1</v>
      </c>
      <c r="E11">
        <v>0.5</v>
      </c>
      <c r="F11">
        <v>2</v>
      </c>
      <c r="G11">
        <v>1</v>
      </c>
      <c r="H11">
        <v>2</v>
      </c>
      <c r="I11">
        <v>1</v>
      </c>
      <c r="J11">
        <v>1</v>
      </c>
      <c r="K11">
        <v>1</v>
      </c>
      <c r="L11">
        <v>1</v>
      </c>
      <c r="M11">
        <v>2</v>
      </c>
      <c r="N11">
        <v>0.5</v>
      </c>
      <c r="O11">
        <v>1</v>
      </c>
      <c r="P11">
        <v>1</v>
      </c>
      <c r="Q11">
        <v>1</v>
      </c>
      <c r="R11">
        <v>0.5</v>
      </c>
      <c r="S11">
        <v>1</v>
      </c>
    </row>
    <row r="12" spans="1:19">
      <c r="A12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2</v>
      </c>
      <c r="I12">
        <v>2</v>
      </c>
      <c r="J12">
        <v>1</v>
      </c>
      <c r="K12">
        <v>1</v>
      </c>
      <c r="L12">
        <v>0.5</v>
      </c>
      <c r="M12">
        <v>1</v>
      </c>
      <c r="N12">
        <v>1</v>
      </c>
      <c r="O12">
        <v>1</v>
      </c>
      <c r="P12">
        <v>1</v>
      </c>
      <c r="Q12">
        <v>0</v>
      </c>
      <c r="R12">
        <v>0.5</v>
      </c>
      <c r="S12">
        <v>1</v>
      </c>
    </row>
    <row r="13" spans="1:19">
      <c r="A13" t="s">
        <v>21</v>
      </c>
      <c r="B13">
        <v>1</v>
      </c>
      <c r="C13">
        <v>0.5</v>
      </c>
      <c r="D13">
        <v>1</v>
      </c>
      <c r="E13">
        <v>1</v>
      </c>
      <c r="F13">
        <v>2</v>
      </c>
      <c r="G13">
        <v>1</v>
      </c>
      <c r="H13">
        <v>0.5</v>
      </c>
      <c r="I13">
        <v>0.5</v>
      </c>
      <c r="J13">
        <v>1</v>
      </c>
      <c r="K13">
        <v>0.5</v>
      </c>
      <c r="L13">
        <v>2</v>
      </c>
      <c r="M13">
        <v>1</v>
      </c>
      <c r="N13">
        <v>1</v>
      </c>
      <c r="O13">
        <v>0.5</v>
      </c>
      <c r="P13">
        <v>1</v>
      </c>
      <c r="Q13">
        <v>2</v>
      </c>
      <c r="R13">
        <v>0.5</v>
      </c>
      <c r="S13">
        <v>0.5</v>
      </c>
    </row>
    <row r="14" spans="1:19">
      <c r="A14" t="s">
        <v>25</v>
      </c>
      <c r="B14">
        <v>1</v>
      </c>
      <c r="C14">
        <v>2</v>
      </c>
      <c r="D14">
        <v>1</v>
      </c>
      <c r="E14">
        <v>1</v>
      </c>
      <c r="F14">
        <v>1</v>
      </c>
      <c r="G14">
        <v>2</v>
      </c>
      <c r="H14">
        <v>0.5</v>
      </c>
      <c r="I14">
        <v>1</v>
      </c>
      <c r="J14">
        <v>0.5</v>
      </c>
      <c r="K14">
        <v>2</v>
      </c>
      <c r="L14">
        <v>1</v>
      </c>
      <c r="M14">
        <v>2</v>
      </c>
      <c r="N14">
        <v>1</v>
      </c>
      <c r="O14">
        <v>1</v>
      </c>
      <c r="P14">
        <v>1</v>
      </c>
      <c r="Q14">
        <v>1</v>
      </c>
      <c r="R14">
        <v>0.5</v>
      </c>
      <c r="S14">
        <v>1</v>
      </c>
    </row>
    <row r="15" spans="1:19">
      <c r="A15" t="s">
        <v>46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>
        <v>1</v>
      </c>
      <c r="N15">
        <v>1</v>
      </c>
      <c r="O15">
        <v>2</v>
      </c>
      <c r="P15">
        <v>1</v>
      </c>
      <c r="Q15">
        <v>0.5</v>
      </c>
      <c r="R15">
        <v>1</v>
      </c>
      <c r="S15">
        <v>1</v>
      </c>
    </row>
    <row r="16" spans="1:19">
      <c r="A16" t="s">
        <v>47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>
        <v>1</v>
      </c>
      <c r="R16">
        <v>0.5</v>
      </c>
      <c r="S16">
        <v>0</v>
      </c>
    </row>
    <row r="17" spans="1:19">
      <c r="A17" t="s">
        <v>38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0.5</v>
      </c>
      <c r="I17">
        <v>1</v>
      </c>
      <c r="J17">
        <v>1</v>
      </c>
      <c r="K17">
        <v>1</v>
      </c>
      <c r="L17">
        <v>2</v>
      </c>
      <c r="M17">
        <v>1</v>
      </c>
      <c r="N17">
        <v>1</v>
      </c>
      <c r="O17">
        <v>2</v>
      </c>
      <c r="P17">
        <v>1</v>
      </c>
      <c r="Q17">
        <v>0.5</v>
      </c>
      <c r="R17">
        <v>1</v>
      </c>
      <c r="S17">
        <v>0.5</v>
      </c>
    </row>
    <row r="18" spans="1:19">
      <c r="A18" t="s">
        <v>24</v>
      </c>
      <c r="B18">
        <v>1</v>
      </c>
      <c r="C18">
        <v>0.5</v>
      </c>
      <c r="D18">
        <v>0.5</v>
      </c>
      <c r="E18">
        <v>0.5</v>
      </c>
      <c r="F18">
        <v>1</v>
      </c>
      <c r="G18">
        <v>2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2</v>
      </c>
      <c r="O18">
        <v>1</v>
      </c>
      <c r="P18">
        <v>1</v>
      </c>
      <c r="Q18">
        <v>1</v>
      </c>
      <c r="R18">
        <v>0.5</v>
      </c>
      <c r="S18">
        <v>2</v>
      </c>
    </row>
    <row r="19" spans="1:19">
      <c r="A19" t="s">
        <v>44</v>
      </c>
      <c r="B19">
        <v>1</v>
      </c>
      <c r="C19">
        <v>0.5</v>
      </c>
      <c r="D19">
        <v>1</v>
      </c>
      <c r="E19">
        <v>1</v>
      </c>
      <c r="F19">
        <v>1</v>
      </c>
      <c r="G19">
        <v>1</v>
      </c>
      <c r="H19">
        <v>2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2</v>
      </c>
      <c r="Q19">
        <v>2</v>
      </c>
      <c r="R19">
        <v>0.5</v>
      </c>
      <c r="S19">
        <v>1</v>
      </c>
    </row>
  </sheetData>
  <conditionalFormatting sqref="A2:S19">
    <cfRule type="cellIs" dxfId="140" priority="1" operator="equal">
      <formula>0</formula>
    </cfRule>
    <cfRule type="cellIs" dxfId="139" priority="2" operator="equal">
      <formula>2</formula>
    </cfRule>
    <cfRule type="cellIs" dxfId="138" priority="3" operator="equal">
      <formula>0.5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62FB-59A2-4A30-98A0-2E7C94A5715F}">
  <dimension ref="A1:AK189"/>
  <sheetViews>
    <sheetView workbookViewId="0">
      <pane ySplit="1" topLeftCell="A14" activePane="bottomLeft" state="frozen"/>
      <selection activeCell="K1" sqref="K1"/>
      <selection pane="bottomLeft" activeCell="D31" sqref="D31"/>
    </sheetView>
  </sheetViews>
  <sheetFormatPr defaultRowHeight="15"/>
  <cols>
    <col min="1" max="1" width="11.85546875" bestFit="1" customWidth="1"/>
    <col min="2" max="2" width="27.5703125" bestFit="1" customWidth="1"/>
    <col min="3" max="3" width="12.28515625" customWidth="1"/>
    <col min="4" max="4" width="9.140625" customWidth="1"/>
    <col min="5" max="5" width="14" bestFit="1" customWidth="1"/>
    <col min="6" max="7" width="10.85546875" bestFit="1" customWidth="1"/>
    <col min="8" max="15" width="10.85546875" customWidth="1"/>
    <col min="16" max="16" width="16.85546875" bestFit="1" customWidth="1"/>
    <col min="17" max="17" width="15.7109375" bestFit="1" customWidth="1"/>
    <col min="18" max="18" width="19.7109375" bestFit="1" customWidth="1"/>
    <col min="19" max="19" width="17" bestFit="1" customWidth="1"/>
    <col min="20" max="20" width="19.5703125" bestFit="1" customWidth="1"/>
    <col min="21" max="21" width="15.140625" bestFit="1" customWidth="1"/>
    <col min="22" max="22" width="15.7109375" bestFit="1" customWidth="1"/>
    <col min="23" max="23" width="19.7109375" bestFit="1" customWidth="1"/>
    <col min="24" max="24" width="17" bestFit="1" customWidth="1"/>
    <col min="25" max="25" width="19.5703125" bestFit="1" customWidth="1"/>
    <col min="26" max="26" width="13.5703125" bestFit="1" customWidth="1"/>
    <col min="27" max="27" width="15.7109375" bestFit="1" customWidth="1"/>
    <col min="28" max="28" width="16.7109375" bestFit="1" customWidth="1"/>
    <col min="29" max="29" width="17" bestFit="1" customWidth="1"/>
    <col min="30" max="30" width="17.42578125" bestFit="1" customWidth="1"/>
    <col min="31" max="31" width="16.140625" bestFit="1" customWidth="1"/>
    <col min="32" max="32" width="15.7109375" bestFit="1" customWidth="1"/>
    <col min="33" max="33" width="16.7109375" bestFit="1" customWidth="1"/>
    <col min="34" max="34" width="17" bestFit="1" customWidth="1"/>
    <col min="35" max="35" width="17.42578125" bestFit="1" customWidth="1"/>
    <col min="36" max="36" width="15.85546875" bestFit="1" customWidth="1"/>
    <col min="37" max="37" width="25.140625" bestFit="1" customWidth="1"/>
  </cols>
  <sheetData>
    <row r="1" spans="1:37" s="3" customFormat="1">
      <c r="A1" s="16" t="s">
        <v>54</v>
      </c>
      <c r="B1" s="16" t="s">
        <v>55</v>
      </c>
      <c r="C1" s="16" t="s">
        <v>816</v>
      </c>
      <c r="D1" s="17" t="s">
        <v>56</v>
      </c>
      <c r="E1" s="16" t="s">
        <v>0</v>
      </c>
      <c r="F1" s="16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10</v>
      </c>
      <c r="N1" s="16" t="s">
        <v>819</v>
      </c>
      <c r="O1" s="16" t="s">
        <v>69</v>
      </c>
      <c r="P1" s="16" t="s">
        <v>11</v>
      </c>
      <c r="Q1" s="16" t="s">
        <v>12</v>
      </c>
      <c r="R1" s="16" t="s">
        <v>27</v>
      </c>
      <c r="S1" s="16" t="s">
        <v>48</v>
      </c>
      <c r="T1" s="16" t="s">
        <v>657</v>
      </c>
      <c r="U1" s="16" t="s">
        <v>13</v>
      </c>
      <c r="V1" s="16" t="s">
        <v>14</v>
      </c>
      <c r="W1" s="16" t="s">
        <v>28</v>
      </c>
      <c r="X1" s="16" t="s">
        <v>49</v>
      </c>
      <c r="Y1" s="16" t="s">
        <v>658</v>
      </c>
      <c r="Z1" s="16" t="s">
        <v>15</v>
      </c>
      <c r="AA1" s="16" t="s">
        <v>16</v>
      </c>
      <c r="AB1" s="16" t="s">
        <v>29</v>
      </c>
      <c r="AC1" s="16" t="s">
        <v>50</v>
      </c>
      <c r="AD1" s="16" t="s">
        <v>659</v>
      </c>
      <c r="AE1" s="16" t="s">
        <v>17</v>
      </c>
      <c r="AF1" s="16" t="s">
        <v>18</v>
      </c>
      <c r="AG1" s="16" t="s">
        <v>30</v>
      </c>
      <c r="AH1" s="16" t="s">
        <v>51</v>
      </c>
      <c r="AI1" s="16" t="s">
        <v>660</v>
      </c>
      <c r="AJ1" s="16" t="s">
        <v>828</v>
      </c>
      <c r="AK1" s="16" t="s">
        <v>829</v>
      </c>
    </row>
    <row r="2" spans="1:37">
      <c r="A2" s="13" t="s">
        <v>703</v>
      </c>
      <c r="B2" s="13" t="s">
        <v>704</v>
      </c>
      <c r="C2" s="13">
        <v>1</v>
      </c>
      <c r="D2" s="13">
        <v>1</v>
      </c>
      <c r="E2" s="13" t="s">
        <v>705</v>
      </c>
      <c r="F2" s="13" t="s">
        <v>20</v>
      </c>
      <c r="G2" s="13"/>
      <c r="H2" s="18">
        <v>50</v>
      </c>
      <c r="I2" s="18">
        <v>95</v>
      </c>
      <c r="J2" s="18">
        <v>95</v>
      </c>
      <c r="K2" s="18">
        <v>35</v>
      </c>
      <c r="L2" s="18">
        <v>110</v>
      </c>
      <c r="M2" s="18">
        <v>70</v>
      </c>
      <c r="N2" s="18">
        <v>34</v>
      </c>
      <c r="O2" s="18" t="s">
        <v>820</v>
      </c>
      <c r="P2" s="13" t="s">
        <v>622</v>
      </c>
      <c r="Q2" t="str">
        <f>IFERROR(VLOOKUP(P2,MoveData[],3,FALSE),"")</f>
        <v>Fighting</v>
      </c>
      <c r="R2" t="str">
        <f>IFERROR(VLOOKUP(P2,MoveData[],4,FALSE),"")</f>
        <v>Physical</v>
      </c>
      <c r="S2" s="14">
        <v>10</v>
      </c>
      <c r="T2" s="15">
        <v>90</v>
      </c>
      <c r="U2" s="13" t="s">
        <v>216</v>
      </c>
      <c r="V2" t="str">
        <f>IFERROR(VLOOKUP(U2,MoveData[],3,FALSE),"")</f>
        <v>Fighting</v>
      </c>
      <c r="W2" t="str">
        <f>IFERROR(VLOOKUP(U2,MoveData[],4,FALSE),"")</f>
        <v>Physical</v>
      </c>
      <c r="X2" s="14">
        <v>0</v>
      </c>
      <c r="Y2" s="15">
        <v>100</v>
      </c>
      <c r="Z2" s="13" t="s">
        <v>503</v>
      </c>
      <c r="AA2" t="str">
        <f>IFERROR(VLOOKUP(Z2,MoveData[],3,FALSE),"")</f>
        <v>Fighting</v>
      </c>
      <c r="AB2" t="str">
        <f>IFERROR(VLOOKUP(Z2,MoveData[],4,FALSE),"")</f>
        <v>Physical</v>
      </c>
      <c r="AC2" s="14">
        <v>60</v>
      </c>
      <c r="AD2" s="15">
        <v>100</v>
      </c>
      <c r="AE2" s="13" t="s">
        <v>493</v>
      </c>
      <c r="AF2" t="str">
        <f>IFERROR(VLOOKUP(AE2,MoveData[],3,FALSE),"")</f>
        <v>Normal</v>
      </c>
      <c r="AG2" t="str">
        <f>IFERROR(VLOOKUP(AE2,MoveData[],4,FALSE),"")</f>
        <v>Physical</v>
      </c>
      <c r="AH2" s="14">
        <v>40</v>
      </c>
      <c r="AI2" s="15">
        <v>100</v>
      </c>
      <c r="AJ2" s="13" t="s">
        <v>830</v>
      </c>
      <c r="AK2" s="13" t="s">
        <v>831</v>
      </c>
    </row>
    <row r="3" spans="1:37">
      <c r="A3" s="13" t="s">
        <v>703</v>
      </c>
      <c r="B3" s="13" t="s">
        <v>704</v>
      </c>
      <c r="C3" s="13">
        <v>1</v>
      </c>
      <c r="D3" s="13">
        <v>2</v>
      </c>
      <c r="E3" s="13" t="s">
        <v>706</v>
      </c>
      <c r="F3" s="13" t="s">
        <v>20</v>
      </c>
      <c r="G3" s="13" t="s">
        <v>38</v>
      </c>
      <c r="H3" s="18">
        <v>95</v>
      </c>
      <c r="I3" s="18">
        <v>124</v>
      </c>
      <c r="J3" s="18">
        <v>78</v>
      </c>
      <c r="K3" s="18">
        <v>69</v>
      </c>
      <c r="L3" s="18">
        <v>71</v>
      </c>
      <c r="M3" s="18">
        <v>58</v>
      </c>
      <c r="N3" s="18">
        <v>34</v>
      </c>
      <c r="O3" s="18" t="s">
        <v>820</v>
      </c>
      <c r="P3" s="13" t="s">
        <v>195</v>
      </c>
      <c r="Q3" t="str">
        <f>IFERROR(VLOOKUP(P3,MoveData[],3,FALSE),"")</f>
        <v>Steel</v>
      </c>
      <c r="R3" t="str">
        <f>IFERROR(VLOOKUP(P3,MoveData[],4,FALSE),"")</f>
        <v>Physical</v>
      </c>
      <c r="S3" s="14">
        <v>40</v>
      </c>
      <c r="T3" s="15">
        <v>100</v>
      </c>
      <c r="U3" s="13" t="s">
        <v>444</v>
      </c>
      <c r="V3" t="str">
        <f>IFERROR(VLOOKUP(U3,MoveData[],3,FALSE),"")</f>
        <v>Dark</v>
      </c>
      <c r="W3" t="str">
        <f>IFERROR(VLOOKUP(U3,MoveData[],4,FALSE),"")</f>
        <v>Physical</v>
      </c>
      <c r="X3" s="14">
        <v>70</v>
      </c>
      <c r="Y3" s="15">
        <v>100</v>
      </c>
      <c r="Z3" s="13" t="s">
        <v>206</v>
      </c>
      <c r="AA3" t="str">
        <f>IFERROR(VLOOKUP(Z3,MoveData[],3,FALSE),"")</f>
        <v>Fighting</v>
      </c>
      <c r="AB3" t="str">
        <f>IFERROR(VLOOKUP(Z3,MoveData[],4,FALSE),"")</f>
        <v>Physical</v>
      </c>
      <c r="AC3" s="14">
        <v>60</v>
      </c>
      <c r="AD3" s="15">
        <v>90</v>
      </c>
      <c r="AE3" s="13" t="s">
        <v>707</v>
      </c>
      <c r="AF3" t="str">
        <f>IFERROR(VLOOKUP(AE3,MoveData[],3,FALSE),"")</f>
        <v>Normal</v>
      </c>
      <c r="AG3" t="str">
        <f>IFERROR(VLOOKUP(AE3,MoveData[],4,FALSE),"")</f>
        <v>Status</v>
      </c>
      <c r="AH3" s="14">
        <v>0</v>
      </c>
      <c r="AI3" s="15">
        <v>100</v>
      </c>
      <c r="AJ3" s="13" t="s">
        <v>832</v>
      </c>
      <c r="AK3" s="13" t="s">
        <v>831</v>
      </c>
    </row>
    <row r="4" spans="1:37">
      <c r="A4" s="13" t="s">
        <v>703</v>
      </c>
      <c r="B4" s="13" t="s">
        <v>704</v>
      </c>
      <c r="C4" s="13">
        <v>1</v>
      </c>
      <c r="D4" s="13">
        <v>3</v>
      </c>
      <c r="E4" s="13" t="s">
        <v>708</v>
      </c>
      <c r="F4" s="13" t="s">
        <v>20</v>
      </c>
      <c r="G4" s="13"/>
      <c r="H4" s="18">
        <v>62</v>
      </c>
      <c r="I4" s="18">
        <v>135</v>
      </c>
      <c r="J4" s="18">
        <v>95</v>
      </c>
      <c r="K4" s="18">
        <v>68</v>
      </c>
      <c r="L4" s="18">
        <v>82</v>
      </c>
      <c r="M4" s="18">
        <v>65</v>
      </c>
      <c r="N4" s="18">
        <v>35</v>
      </c>
      <c r="O4" s="18" t="s">
        <v>820</v>
      </c>
      <c r="P4" s="13" t="s">
        <v>189</v>
      </c>
      <c r="Q4" t="str">
        <f>IFERROR(VLOOKUP(P4,MoveData[],3,FALSE),"")</f>
        <v>Dark</v>
      </c>
      <c r="R4" t="str">
        <f>IFERROR(VLOOKUP(P4,MoveData[],4,FALSE),"")</f>
        <v>Physical</v>
      </c>
      <c r="S4" s="14">
        <v>60</v>
      </c>
      <c r="T4" s="15">
        <v>100</v>
      </c>
      <c r="U4" s="13" t="s">
        <v>503</v>
      </c>
      <c r="V4" t="str">
        <f>IFERROR(VLOOKUP(U4,MoveData[],3,FALSE),"")</f>
        <v>Fighting</v>
      </c>
      <c r="W4" t="str">
        <f>IFERROR(VLOOKUP(U4,MoveData[],4,FALSE),"")</f>
        <v>Physical</v>
      </c>
      <c r="X4" s="14">
        <v>60</v>
      </c>
      <c r="Y4" s="15">
        <v>100</v>
      </c>
      <c r="Z4" s="13" t="s">
        <v>709</v>
      </c>
      <c r="AA4" t="str">
        <f>IFERROR(VLOOKUP(Z4,MoveData[],3,FALSE),"")</f>
        <v>Fighting</v>
      </c>
      <c r="AB4" t="str">
        <f>IFERROR(VLOOKUP(Z4,MoveData[],4,FALSE),"")</f>
        <v>Status</v>
      </c>
      <c r="AC4" s="14">
        <v>0</v>
      </c>
      <c r="AD4" s="15">
        <v>100</v>
      </c>
      <c r="AE4" s="13" t="s">
        <v>26</v>
      </c>
      <c r="AF4" t="str">
        <f>IFERROR(VLOOKUP(AE4,MoveData[],3,FALSE),"")</f>
        <v>Normal</v>
      </c>
      <c r="AG4" t="str">
        <f>IFERROR(VLOOKUP(AE4,MoveData[],4,FALSE),"")</f>
        <v>Status</v>
      </c>
      <c r="AH4" s="14">
        <v>0</v>
      </c>
      <c r="AI4" s="15">
        <v>100</v>
      </c>
      <c r="AJ4" s="13" t="s">
        <v>833</v>
      </c>
      <c r="AK4" s="13" t="s">
        <v>831</v>
      </c>
    </row>
    <row r="5" spans="1:37">
      <c r="A5" s="13" t="s">
        <v>703</v>
      </c>
      <c r="B5" s="13" t="s">
        <v>704</v>
      </c>
      <c r="C5" s="13">
        <v>1</v>
      </c>
      <c r="D5" s="13">
        <v>4</v>
      </c>
      <c r="E5" s="13" t="s">
        <v>710</v>
      </c>
      <c r="F5" s="13" t="s">
        <v>20</v>
      </c>
      <c r="G5" s="13"/>
      <c r="H5" s="18">
        <v>90</v>
      </c>
      <c r="I5" s="18">
        <v>130</v>
      </c>
      <c r="J5" s="18">
        <v>80</v>
      </c>
      <c r="K5" s="18">
        <v>65</v>
      </c>
      <c r="L5" s="18">
        <v>85</v>
      </c>
      <c r="M5" s="18">
        <v>55</v>
      </c>
      <c r="N5" s="18">
        <v>36</v>
      </c>
      <c r="O5" s="18" t="s">
        <v>820</v>
      </c>
      <c r="P5" s="13" t="s">
        <v>711</v>
      </c>
      <c r="Q5" t="s">
        <v>20</v>
      </c>
      <c r="R5" t="s">
        <v>31</v>
      </c>
      <c r="S5" s="14">
        <v>110</v>
      </c>
      <c r="T5" s="15">
        <v>100</v>
      </c>
      <c r="U5" s="13" t="s">
        <v>115</v>
      </c>
      <c r="V5" t="s">
        <v>38</v>
      </c>
      <c r="W5" t="s">
        <v>31</v>
      </c>
      <c r="X5" s="14">
        <v>120</v>
      </c>
      <c r="Y5" s="15">
        <v>100</v>
      </c>
      <c r="Z5" s="13" t="s">
        <v>64</v>
      </c>
      <c r="AA5" t="s">
        <v>32</v>
      </c>
      <c r="AB5" t="s">
        <v>31</v>
      </c>
      <c r="AC5" s="14">
        <v>130</v>
      </c>
      <c r="AD5" s="15">
        <v>100</v>
      </c>
      <c r="AE5" s="13" t="s">
        <v>669</v>
      </c>
      <c r="AF5" t="str">
        <f>IFERROR(VLOOKUP(AE5,MoveData[],3,FALSE),"")</f>
        <v>Normal</v>
      </c>
      <c r="AG5" t="str">
        <f>IFERROR(VLOOKUP(AE5,MoveData[],4,FALSE),"")</f>
        <v>Status</v>
      </c>
      <c r="AH5" s="14">
        <v>0</v>
      </c>
      <c r="AI5" s="15">
        <v>100</v>
      </c>
      <c r="AJ5" s="13" t="s">
        <v>834</v>
      </c>
      <c r="AK5" s="13" t="s">
        <v>831</v>
      </c>
    </row>
    <row r="6" spans="1:37">
      <c r="A6" s="13" t="s">
        <v>750</v>
      </c>
      <c r="B6" s="13" t="s">
        <v>743</v>
      </c>
      <c r="C6" s="13">
        <v>1</v>
      </c>
      <c r="D6" s="13">
        <v>1</v>
      </c>
      <c r="E6" s="13" t="s">
        <v>751</v>
      </c>
      <c r="F6" s="13" t="s">
        <v>25</v>
      </c>
      <c r="G6" s="13" t="s">
        <v>34</v>
      </c>
      <c r="H6" s="18">
        <v>72</v>
      </c>
      <c r="I6" s="18">
        <v>105</v>
      </c>
      <c r="J6" s="18">
        <v>115</v>
      </c>
      <c r="K6" s="18">
        <v>54</v>
      </c>
      <c r="L6" s="18">
        <v>86</v>
      </c>
      <c r="M6" s="18">
        <v>68</v>
      </c>
      <c r="N6" s="18">
        <v>40</v>
      </c>
      <c r="O6" s="18" t="s">
        <v>820</v>
      </c>
      <c r="P6" s="13" t="s">
        <v>497</v>
      </c>
      <c r="Q6" t="str">
        <f>IFERROR(VLOOKUP(P6,MoveData[],3,FALSE),"")</f>
        <v>Water</v>
      </c>
      <c r="R6" t="str">
        <f>IFERROR(VLOOKUP(P6,MoveData[],4,FALSE),"")</f>
        <v>Physical</v>
      </c>
      <c r="S6" s="14">
        <v>75</v>
      </c>
      <c r="T6" s="15">
        <v>95</v>
      </c>
      <c r="U6" s="13" t="s">
        <v>512</v>
      </c>
      <c r="V6" t="str">
        <f>IFERROR(VLOOKUP(U6,MoveData[],3,FALSE),"")</f>
        <v>Rock</v>
      </c>
      <c r="W6" t="str">
        <f>IFERROR(VLOOKUP(U6,MoveData[],4,FALSE),"")</f>
        <v>Physical</v>
      </c>
      <c r="X6" s="14">
        <v>60</v>
      </c>
      <c r="Y6" s="15">
        <v>95</v>
      </c>
      <c r="Z6" s="13" t="s">
        <v>1058</v>
      </c>
      <c r="AA6" t="str">
        <f>IFERROR(VLOOKUP(Z6,MoveData[],3,FALSE),"")</f>
        <v>Normal</v>
      </c>
      <c r="AB6" t="str">
        <f>IFERROR(VLOOKUP(Z6,MoveData[],4,FALSE),"")</f>
        <v>Status</v>
      </c>
      <c r="AC6" s="14">
        <v>0</v>
      </c>
      <c r="AD6" s="15">
        <v>100</v>
      </c>
      <c r="AE6" s="13"/>
      <c r="AF6" t="str">
        <f>IFERROR(VLOOKUP(AE6,MoveData[],3,FALSE),"")</f>
        <v/>
      </c>
      <c r="AG6" t="str">
        <f>IFERROR(VLOOKUP(AE6,MoveData[],4,FALSE),"")</f>
        <v/>
      </c>
      <c r="AH6" s="14">
        <v>0</v>
      </c>
      <c r="AI6" s="15">
        <v>100</v>
      </c>
      <c r="AJ6" s="13" t="s">
        <v>835</v>
      </c>
      <c r="AK6" s="13" t="s">
        <v>831</v>
      </c>
    </row>
    <row r="7" spans="1:37">
      <c r="A7" s="13" t="s">
        <v>750</v>
      </c>
      <c r="B7" s="13" t="s">
        <v>743</v>
      </c>
      <c r="C7" s="13">
        <v>1</v>
      </c>
      <c r="D7" s="13">
        <v>2</v>
      </c>
      <c r="E7" s="13" t="s">
        <v>752</v>
      </c>
      <c r="F7" s="13" t="s">
        <v>21</v>
      </c>
      <c r="G7" s="13" t="s">
        <v>25</v>
      </c>
      <c r="H7" s="18">
        <v>20</v>
      </c>
      <c r="I7" s="18">
        <v>10</v>
      </c>
      <c r="J7" s="18">
        <v>230</v>
      </c>
      <c r="K7" s="18">
        <v>10</v>
      </c>
      <c r="L7" s="18">
        <v>230</v>
      </c>
      <c r="M7" s="18">
        <v>5</v>
      </c>
      <c r="N7" s="18">
        <v>40</v>
      </c>
      <c r="O7" s="18" t="s">
        <v>820</v>
      </c>
      <c r="P7" s="13" t="s">
        <v>587</v>
      </c>
      <c r="Q7" t="str">
        <f>IFERROR(VLOOKUP(P7,MoveData[],3,FALSE),"")</f>
        <v>Rock</v>
      </c>
      <c r="R7" t="str">
        <f>IFERROR(VLOOKUP(P7,MoveData[],4,FALSE),"")</f>
        <v>Physical</v>
      </c>
      <c r="S7" s="14">
        <v>100</v>
      </c>
      <c r="T7" s="15">
        <v>80</v>
      </c>
      <c r="U7" s="13" t="s">
        <v>593</v>
      </c>
      <c r="V7" t="str">
        <f>IFERROR(VLOOKUP(U7,MoveData[],3,FALSE),"")</f>
        <v>Bug</v>
      </c>
      <c r="W7" t="str">
        <f>IFERROR(VLOOKUP(U7,MoveData[],4,FALSE),"")</f>
        <v>Special</v>
      </c>
      <c r="X7" s="14">
        <v>50</v>
      </c>
      <c r="Y7" s="15">
        <v>100</v>
      </c>
      <c r="Z7" s="13" t="s">
        <v>512</v>
      </c>
      <c r="AA7" t="str">
        <f>IFERROR(VLOOKUP(Z7,MoveData[],3,FALSE),"")</f>
        <v>Rock</v>
      </c>
      <c r="AB7" t="str">
        <f>IFERROR(VLOOKUP(Z7,MoveData[],4,FALSE),"")</f>
        <v>Physical</v>
      </c>
      <c r="AC7" s="14">
        <v>60</v>
      </c>
      <c r="AD7" s="15">
        <v>95</v>
      </c>
      <c r="AE7" s="13" t="s">
        <v>753</v>
      </c>
      <c r="AF7" t="str">
        <f>IFERROR(VLOOKUP(AE7,MoveData[],3,FALSE),"")</f>
        <v>Psychic</v>
      </c>
      <c r="AG7" t="str">
        <f>IFERROR(VLOOKUP(AE7,MoveData[],4,FALSE),"")</f>
        <v>Status</v>
      </c>
      <c r="AH7" s="14">
        <v>0</v>
      </c>
      <c r="AI7" s="15">
        <v>100</v>
      </c>
      <c r="AJ7" s="13" t="s">
        <v>836</v>
      </c>
      <c r="AK7" s="13" t="s">
        <v>837</v>
      </c>
    </row>
    <row r="8" spans="1:37">
      <c r="A8" s="13" t="s">
        <v>750</v>
      </c>
      <c r="B8" s="13" t="s">
        <v>743</v>
      </c>
      <c r="C8" s="13">
        <v>1</v>
      </c>
      <c r="D8" s="13">
        <v>3</v>
      </c>
      <c r="E8" s="13" t="s">
        <v>754</v>
      </c>
      <c r="F8" s="13" t="s">
        <v>25</v>
      </c>
      <c r="G8" s="13"/>
      <c r="H8" s="18">
        <v>100</v>
      </c>
      <c r="I8" s="18">
        <v>125</v>
      </c>
      <c r="J8" s="18">
        <v>135</v>
      </c>
      <c r="K8" s="18">
        <v>20</v>
      </c>
      <c r="L8" s="18">
        <v>20</v>
      </c>
      <c r="M8" s="18">
        <v>70</v>
      </c>
      <c r="N8" s="18">
        <v>41</v>
      </c>
      <c r="O8" s="18" t="s">
        <v>820</v>
      </c>
      <c r="P8" s="13" t="s">
        <v>512</v>
      </c>
      <c r="Q8" t="str">
        <f>IFERROR(VLOOKUP(P8,MoveData[],3,FALSE),"")</f>
        <v>Rock</v>
      </c>
      <c r="R8" t="str">
        <f>IFERROR(VLOOKUP(P8,MoveData[],4,FALSE),"")</f>
        <v>Physical</v>
      </c>
      <c r="S8" s="14">
        <v>60</v>
      </c>
      <c r="T8" s="15">
        <v>95</v>
      </c>
      <c r="U8" s="13" t="s">
        <v>175</v>
      </c>
      <c r="V8" t="str">
        <f>IFERROR(VLOOKUP(U8,MoveData[],3,FALSE),"")</f>
        <v>Normal</v>
      </c>
      <c r="W8" t="str">
        <f>IFERROR(VLOOKUP(U8,MoveData[],4,FALSE),"")</f>
        <v>Physical</v>
      </c>
      <c r="X8" s="14">
        <v>85</v>
      </c>
      <c r="Y8" s="15">
        <v>100</v>
      </c>
      <c r="Z8" s="13" t="s">
        <v>755</v>
      </c>
      <c r="AA8" t="str">
        <f>IFERROR(VLOOKUP(Z8,MoveData[],3,FALSE),"")</f>
        <v>Rock</v>
      </c>
      <c r="AB8" t="str">
        <f>IFERROR(VLOOKUP(Z8,MoveData[],4,FALSE),"")</f>
        <v>Status</v>
      </c>
      <c r="AC8" s="14">
        <v>0</v>
      </c>
      <c r="AD8" s="15">
        <v>100</v>
      </c>
      <c r="AE8" s="13" t="s">
        <v>756</v>
      </c>
      <c r="AF8" t="str">
        <f>IFERROR(VLOOKUP(AE8,MoveData[],3,FALSE),"")</f>
        <v>Psychic</v>
      </c>
      <c r="AG8" t="str">
        <f>IFERROR(VLOOKUP(AE8,MoveData[],4,FALSE),"")</f>
        <v>Status</v>
      </c>
      <c r="AH8" s="14">
        <v>0</v>
      </c>
      <c r="AI8" s="15">
        <v>100</v>
      </c>
      <c r="AJ8" s="13" t="s">
        <v>838</v>
      </c>
      <c r="AK8" s="13" t="s">
        <v>839</v>
      </c>
    </row>
    <row r="9" spans="1:37">
      <c r="A9" s="13" t="s">
        <v>750</v>
      </c>
      <c r="B9" s="13" t="s">
        <v>743</v>
      </c>
      <c r="C9" s="13">
        <v>1</v>
      </c>
      <c r="D9" s="13">
        <v>4</v>
      </c>
      <c r="E9" s="13" t="s">
        <v>757</v>
      </c>
      <c r="F9" s="13" t="s">
        <v>25</v>
      </c>
      <c r="G9" s="13" t="s">
        <v>19</v>
      </c>
      <c r="H9" s="18">
        <v>110</v>
      </c>
      <c r="I9" s="18">
        <v>80</v>
      </c>
      <c r="J9" s="18">
        <v>120</v>
      </c>
      <c r="K9" s="18">
        <v>80</v>
      </c>
      <c r="L9" s="18">
        <v>90</v>
      </c>
      <c r="M9" s="18">
        <v>30</v>
      </c>
      <c r="N9" s="18">
        <v>42</v>
      </c>
      <c r="O9" s="18" t="s">
        <v>820</v>
      </c>
      <c r="P9" s="13" t="s">
        <v>405</v>
      </c>
      <c r="Q9" t="s">
        <v>19</v>
      </c>
      <c r="R9" t="s">
        <v>31</v>
      </c>
      <c r="S9" s="14">
        <v>130</v>
      </c>
      <c r="T9" s="15">
        <v>100</v>
      </c>
      <c r="U9" s="13" t="s">
        <v>758</v>
      </c>
      <c r="V9" t="s">
        <v>25</v>
      </c>
      <c r="W9" t="s">
        <v>31</v>
      </c>
      <c r="X9" s="14">
        <v>110</v>
      </c>
      <c r="Y9" s="15">
        <v>100</v>
      </c>
      <c r="Z9" s="13" t="s">
        <v>669</v>
      </c>
      <c r="AA9" t="str">
        <f>IFERROR(VLOOKUP(Z9,MoveData[],3,FALSE),"")</f>
        <v>Normal</v>
      </c>
      <c r="AB9" t="str">
        <f>IFERROR(VLOOKUP(Z9,MoveData[],4,FALSE),"")</f>
        <v>Status</v>
      </c>
      <c r="AC9" s="14">
        <v>0</v>
      </c>
      <c r="AD9" s="15">
        <v>100</v>
      </c>
      <c r="AE9" s="13" t="s">
        <v>669</v>
      </c>
      <c r="AF9" t="str">
        <f>IFERROR(VLOOKUP(AE9,MoveData[],3,FALSE),"")</f>
        <v>Normal</v>
      </c>
      <c r="AG9" t="str">
        <f>IFERROR(VLOOKUP(AE9,MoveData[],4,FALSE),"")</f>
        <v>Status</v>
      </c>
      <c r="AH9" s="14">
        <v>0</v>
      </c>
      <c r="AI9" s="15">
        <v>100</v>
      </c>
      <c r="AJ9" s="13" t="s">
        <v>840</v>
      </c>
      <c r="AK9" s="13" t="s">
        <v>831</v>
      </c>
    </row>
    <row r="10" spans="1:37">
      <c r="A10" s="13" t="s">
        <v>670</v>
      </c>
      <c r="B10" s="13" t="s">
        <v>671</v>
      </c>
      <c r="C10" s="13">
        <v>1</v>
      </c>
      <c r="D10" s="13">
        <v>1</v>
      </c>
      <c r="E10" s="13" t="s">
        <v>672</v>
      </c>
      <c r="F10" s="13" t="s">
        <v>32</v>
      </c>
      <c r="G10" s="13"/>
      <c r="H10" s="18">
        <v>42</v>
      </c>
      <c r="I10" s="18">
        <v>40</v>
      </c>
      <c r="J10" s="18">
        <v>55</v>
      </c>
      <c r="K10" s="18">
        <v>40</v>
      </c>
      <c r="L10" s="18">
        <v>45</v>
      </c>
      <c r="M10" s="18">
        <v>48</v>
      </c>
      <c r="N10" s="18">
        <v>3</v>
      </c>
      <c r="O10" s="18" t="s">
        <v>820</v>
      </c>
      <c r="P10" s="13" t="s">
        <v>603</v>
      </c>
      <c r="Q10" t="str">
        <f>IFERROR(VLOOKUP(P10,MoveData[],3,FALSE),"")</f>
        <v>Normal</v>
      </c>
      <c r="R10" t="str">
        <f>IFERROR(VLOOKUP(P10,MoveData[],4,FALSE),"")</f>
        <v>Physical</v>
      </c>
      <c r="S10" s="14">
        <v>40</v>
      </c>
      <c r="T10" s="15">
        <v>100</v>
      </c>
      <c r="U10" s="13"/>
      <c r="V10" t="str">
        <f>IFERROR(VLOOKUP(U10,MoveData[],3,FALSE),"")</f>
        <v/>
      </c>
      <c r="W10" t="str">
        <f>IFERROR(VLOOKUP(U10,MoveData[],4,FALSE),"")</f>
        <v/>
      </c>
      <c r="X10" s="14">
        <v>0</v>
      </c>
      <c r="Y10" s="15">
        <v>100</v>
      </c>
      <c r="Z10" s="13"/>
      <c r="AA10" t="str">
        <f>IFERROR(VLOOKUP(Z10,MoveData[],3,FALSE),"")</f>
        <v/>
      </c>
      <c r="AB10" t="str">
        <f>IFERROR(VLOOKUP(Z10,MoveData[],4,FALSE),"")</f>
        <v/>
      </c>
      <c r="AC10" s="14">
        <v>0</v>
      </c>
      <c r="AD10" s="15">
        <v>100</v>
      </c>
      <c r="AE10" s="13"/>
      <c r="AF10" t="str">
        <f>IFERROR(VLOOKUP(AE10,MoveData[],3,FALSE),"")</f>
        <v/>
      </c>
      <c r="AG10" t="str">
        <f>IFERROR(VLOOKUP(AE10,MoveData[],4,FALSE),"")</f>
        <v/>
      </c>
      <c r="AH10" s="14">
        <v>0</v>
      </c>
      <c r="AI10" s="15">
        <v>100</v>
      </c>
      <c r="AJ10" s="13" t="s">
        <v>841</v>
      </c>
      <c r="AK10" s="13" t="s">
        <v>837</v>
      </c>
    </row>
    <row r="11" spans="1:37">
      <c r="A11" s="13" t="s">
        <v>670</v>
      </c>
      <c r="B11" s="13" t="s">
        <v>671</v>
      </c>
      <c r="C11" s="13">
        <v>1</v>
      </c>
      <c r="D11" s="13">
        <v>2</v>
      </c>
      <c r="E11" s="13" t="s">
        <v>673</v>
      </c>
      <c r="F11" s="13" t="s">
        <v>43</v>
      </c>
      <c r="G11" s="13"/>
      <c r="H11" s="18">
        <v>50</v>
      </c>
      <c r="I11" s="18">
        <v>65</v>
      </c>
      <c r="J11" s="18">
        <v>50</v>
      </c>
      <c r="K11" s="18">
        <v>40</v>
      </c>
      <c r="L11" s="18">
        <v>40</v>
      </c>
      <c r="M11" s="18">
        <v>65</v>
      </c>
      <c r="N11" s="18">
        <v>5</v>
      </c>
      <c r="O11" s="18" t="s">
        <v>820</v>
      </c>
      <c r="P11" s="13" t="s">
        <v>524</v>
      </c>
      <c r="Q11" t="str">
        <f>IFERROR(VLOOKUP(P11,MoveData[],3,FALSE),"")</f>
        <v>Normal</v>
      </c>
      <c r="R11" t="str">
        <f>IFERROR(VLOOKUP(P11,MoveData[],4,FALSE),"")</f>
        <v>Physical</v>
      </c>
      <c r="S11" s="14">
        <v>40</v>
      </c>
      <c r="T11" s="15">
        <v>100</v>
      </c>
      <c r="U11" s="13" t="s">
        <v>98</v>
      </c>
      <c r="V11" t="str">
        <f>IFERROR(VLOOKUP(U11,MoveData[],3,FALSE),"")</f>
        <v>Normal</v>
      </c>
      <c r="W11" t="str">
        <f>IFERROR(VLOOKUP(U11,MoveData[],4,FALSE),"")</f>
        <v>Status</v>
      </c>
      <c r="X11" s="14">
        <v>0</v>
      </c>
      <c r="Y11" s="15">
        <v>100</v>
      </c>
      <c r="Z11" s="13"/>
      <c r="AA11" t="str">
        <f>IFERROR(VLOOKUP(Z11,MoveData[],3,FALSE),"")</f>
        <v/>
      </c>
      <c r="AB11" t="str">
        <f>IFERROR(VLOOKUP(Z11,MoveData[],4,FALSE),"")</f>
        <v/>
      </c>
      <c r="AC11" s="14">
        <v>0</v>
      </c>
      <c r="AD11" s="15">
        <v>100</v>
      </c>
      <c r="AE11" s="13"/>
      <c r="AF11" t="str">
        <f>IFERROR(VLOOKUP(AE11,MoveData[],3,FALSE),"")</f>
        <v/>
      </c>
      <c r="AG11" t="str">
        <f>IFERROR(VLOOKUP(AE11,MoveData[],4,FALSE),"")</f>
        <v/>
      </c>
      <c r="AH11" s="14">
        <v>0</v>
      </c>
      <c r="AI11" s="15">
        <v>100</v>
      </c>
      <c r="AJ11" s="13" t="s">
        <v>842</v>
      </c>
      <c r="AK11" s="13" t="s">
        <v>843</v>
      </c>
    </row>
    <row r="12" spans="1:37">
      <c r="A12" s="13" t="s">
        <v>663</v>
      </c>
      <c r="B12" s="13" t="s">
        <v>664</v>
      </c>
      <c r="C12" s="13">
        <v>1</v>
      </c>
      <c r="D12" s="13">
        <v>1</v>
      </c>
      <c r="E12" s="13" t="s">
        <v>665</v>
      </c>
      <c r="F12" s="13" t="s">
        <v>19</v>
      </c>
      <c r="G12" s="13"/>
      <c r="H12" s="18">
        <v>73</v>
      </c>
      <c r="I12" s="18">
        <v>76</v>
      </c>
      <c r="J12" s="18">
        <v>75</v>
      </c>
      <c r="K12" s="18">
        <v>81</v>
      </c>
      <c r="L12" s="18">
        <v>100</v>
      </c>
      <c r="M12" s="18">
        <v>100</v>
      </c>
      <c r="N12" s="18">
        <v>25</v>
      </c>
      <c r="O12" s="18" t="s">
        <v>820</v>
      </c>
      <c r="P12" s="13" t="s">
        <v>291</v>
      </c>
      <c r="Q12" t="str">
        <f>IFERROR(VLOOKUP(P12,MoveData[],3,FALSE),"")</f>
        <v>Fire</v>
      </c>
      <c r="R12" t="str">
        <f>IFERROR(VLOOKUP(P12,MoveData[],4,FALSE),"")</f>
        <v>Special</v>
      </c>
      <c r="S12" s="14">
        <v>35</v>
      </c>
      <c r="T12" s="15">
        <v>85</v>
      </c>
      <c r="U12" s="13" t="s">
        <v>265</v>
      </c>
      <c r="V12" t="str">
        <f>IFERROR(VLOOKUP(U12,MoveData[],3,FALSE),"")</f>
        <v>Fire</v>
      </c>
      <c r="W12" t="str">
        <f>IFERROR(VLOOKUP(U12,MoveData[],4,FALSE),"")</f>
        <v>Special</v>
      </c>
      <c r="X12" s="14">
        <v>40</v>
      </c>
      <c r="Y12" s="15">
        <v>100</v>
      </c>
      <c r="Z12" s="13" t="s">
        <v>493</v>
      </c>
      <c r="AA12" t="str">
        <f>IFERROR(VLOOKUP(Z12,MoveData[],3,FALSE),"")</f>
        <v>Normal</v>
      </c>
      <c r="AB12" t="str">
        <f>IFERROR(VLOOKUP(Z12,MoveData[],4,FALSE),"")</f>
        <v>Physical</v>
      </c>
      <c r="AC12" s="14">
        <v>40</v>
      </c>
      <c r="AD12" s="15">
        <v>100</v>
      </c>
      <c r="AE12" s="13" t="s">
        <v>666</v>
      </c>
      <c r="AF12" t="str">
        <f>IFERROR(VLOOKUP(AE12,MoveData[],3,FALSE),"")</f>
        <v>Fire</v>
      </c>
      <c r="AG12" t="str">
        <f>IFERROR(VLOOKUP(AE12,MoveData[],4,FALSE),"")</f>
        <v>Status</v>
      </c>
      <c r="AH12" s="14">
        <v>0</v>
      </c>
      <c r="AI12" s="15">
        <v>85</v>
      </c>
      <c r="AJ12" s="13" t="s">
        <v>844</v>
      </c>
      <c r="AK12" s="13" t="s">
        <v>831</v>
      </c>
    </row>
    <row r="13" spans="1:37">
      <c r="A13" s="13" t="s">
        <v>663</v>
      </c>
      <c r="B13" s="13" t="s">
        <v>664</v>
      </c>
      <c r="C13" s="13">
        <v>1</v>
      </c>
      <c r="D13" s="13">
        <v>2</v>
      </c>
      <c r="E13" s="13" t="s">
        <v>814</v>
      </c>
      <c r="F13" s="13" t="s">
        <v>19</v>
      </c>
      <c r="G13" s="13"/>
      <c r="H13" s="18">
        <v>90</v>
      </c>
      <c r="I13" s="18">
        <v>110</v>
      </c>
      <c r="J13" s="18">
        <v>80</v>
      </c>
      <c r="K13" s="18">
        <v>100</v>
      </c>
      <c r="L13" s="18">
        <v>80</v>
      </c>
      <c r="M13" s="18">
        <v>95</v>
      </c>
      <c r="N13" s="18">
        <v>25</v>
      </c>
      <c r="O13" s="18" t="s">
        <v>820</v>
      </c>
      <c r="P13" s="13" t="s">
        <v>296</v>
      </c>
      <c r="Q13" t="str">
        <f>IFERROR(VLOOKUP(P13,MoveData[],3,FALSE),"")</f>
        <v>Fire</v>
      </c>
      <c r="R13" t="str">
        <f>IFERROR(VLOOKUP(P13,MoveData[],4,FALSE),"")</f>
        <v>Physical</v>
      </c>
      <c r="S13" s="14">
        <v>60</v>
      </c>
      <c r="T13" s="15">
        <v>100</v>
      </c>
      <c r="U13" s="13" t="s">
        <v>106</v>
      </c>
      <c r="V13" t="str">
        <f>IFERROR(VLOOKUP(U13,MoveData[],3,FALSE),"")</f>
        <v>Dark</v>
      </c>
      <c r="W13" t="str">
        <f>IFERROR(VLOOKUP(U13,MoveData[],4,FALSE),"")</f>
        <v>Physical</v>
      </c>
      <c r="X13" s="14">
        <v>60</v>
      </c>
      <c r="Y13" s="15">
        <v>100</v>
      </c>
      <c r="Z13" s="13" t="s">
        <v>76</v>
      </c>
      <c r="AA13" t="str">
        <f>IFERROR(VLOOKUP(Z13,MoveData[],3,FALSE),"")</f>
        <v>Psychic</v>
      </c>
      <c r="AB13" t="str">
        <f>IFERROR(VLOOKUP(Z13,MoveData[],4,FALSE),"")</f>
        <v>Status</v>
      </c>
      <c r="AC13" s="14">
        <v>0</v>
      </c>
      <c r="AD13" s="15">
        <v>100</v>
      </c>
      <c r="AE13" s="13" t="s">
        <v>666</v>
      </c>
      <c r="AF13" t="str">
        <f>IFERROR(VLOOKUP(AE13,MoveData[],3,FALSE),"")</f>
        <v>Fire</v>
      </c>
      <c r="AG13" t="str">
        <f>IFERROR(VLOOKUP(AE13,MoveData[],4,FALSE),"")</f>
        <v>Status</v>
      </c>
      <c r="AH13" s="14">
        <v>0</v>
      </c>
      <c r="AI13" s="15">
        <v>85</v>
      </c>
      <c r="AJ13" s="13" t="s">
        <v>844</v>
      </c>
      <c r="AK13" s="13" t="s">
        <v>831</v>
      </c>
    </row>
    <row r="14" spans="1:37">
      <c r="A14" s="13" t="s">
        <v>663</v>
      </c>
      <c r="B14" s="13" t="s">
        <v>664</v>
      </c>
      <c r="C14" s="13">
        <v>1</v>
      </c>
      <c r="D14" s="13">
        <v>3</v>
      </c>
      <c r="E14" s="13" t="s">
        <v>667</v>
      </c>
      <c r="F14" s="13" t="s">
        <v>19</v>
      </c>
      <c r="G14" s="13" t="s">
        <v>21</v>
      </c>
      <c r="H14" s="18">
        <v>100</v>
      </c>
      <c r="I14" s="18">
        <v>115</v>
      </c>
      <c r="J14" s="18">
        <v>65</v>
      </c>
      <c r="K14" s="18">
        <v>90</v>
      </c>
      <c r="L14" s="18">
        <v>90</v>
      </c>
      <c r="M14" s="18">
        <v>65</v>
      </c>
      <c r="N14" s="18">
        <v>27</v>
      </c>
      <c r="O14" s="18" t="s">
        <v>820</v>
      </c>
      <c r="P14" s="13" t="s">
        <v>668</v>
      </c>
      <c r="Q14" t="s">
        <v>19</v>
      </c>
      <c r="R14" t="s">
        <v>31</v>
      </c>
      <c r="S14" s="14">
        <v>110</v>
      </c>
      <c r="T14" s="15">
        <v>100</v>
      </c>
      <c r="U14" s="13" t="s">
        <v>406</v>
      </c>
      <c r="V14" t="s">
        <v>21</v>
      </c>
      <c r="W14" t="s">
        <v>31</v>
      </c>
      <c r="X14" s="14">
        <v>110</v>
      </c>
      <c r="Y14" s="15">
        <v>100</v>
      </c>
      <c r="Z14" s="13" t="s">
        <v>669</v>
      </c>
      <c r="AA14" t="str">
        <f>IFERROR(VLOOKUP(Z14,MoveData[],3,FALSE),"")</f>
        <v>Normal</v>
      </c>
      <c r="AB14" t="str">
        <f>IFERROR(VLOOKUP(Z14,MoveData[],4,FALSE),"")</f>
        <v>Status</v>
      </c>
      <c r="AC14" s="14">
        <v>0</v>
      </c>
      <c r="AD14" s="15">
        <v>100</v>
      </c>
      <c r="AE14" s="13" t="s">
        <v>669</v>
      </c>
      <c r="AF14" t="str">
        <f>IFERROR(VLOOKUP(AE14,MoveData[],3,FALSE),"")</f>
        <v>Normal</v>
      </c>
      <c r="AG14" t="str">
        <f>IFERROR(VLOOKUP(AE14,MoveData[],4,FALSE),"")</f>
        <v>Status</v>
      </c>
      <c r="AH14" s="14">
        <v>0</v>
      </c>
      <c r="AI14" s="15">
        <v>100</v>
      </c>
      <c r="AJ14" s="13" t="s">
        <v>844</v>
      </c>
      <c r="AK14" s="13" t="s">
        <v>831</v>
      </c>
    </row>
    <row r="15" spans="1:37">
      <c r="A15" s="13" t="s">
        <v>778</v>
      </c>
      <c r="B15" s="13" t="s">
        <v>1374</v>
      </c>
      <c r="C15" s="13">
        <v>1</v>
      </c>
      <c r="D15" s="13">
        <v>1</v>
      </c>
      <c r="E15" s="13" t="s">
        <v>779</v>
      </c>
      <c r="F15" s="13" t="s">
        <v>24</v>
      </c>
      <c r="G15" s="13" t="s">
        <v>46</v>
      </c>
      <c r="H15" s="18">
        <v>60</v>
      </c>
      <c r="I15" s="18">
        <v>50</v>
      </c>
      <c r="J15" s="18">
        <v>140</v>
      </c>
      <c r="K15" s="18">
        <v>50</v>
      </c>
      <c r="L15" s="18">
        <v>140</v>
      </c>
      <c r="M15" s="18">
        <v>60</v>
      </c>
      <c r="N15" s="18">
        <v>62</v>
      </c>
      <c r="O15" s="18" t="s">
        <v>820</v>
      </c>
      <c r="P15" s="13" t="s">
        <v>517</v>
      </c>
      <c r="Q15" t="str">
        <f>IFERROR(VLOOKUP(P15,MoveData[],3,FALSE),"")</f>
        <v>Fighting</v>
      </c>
      <c r="R15" t="str">
        <f>IFERROR(VLOOKUP(P15,MoveData[],4,FALSE),"")</f>
        <v>Physical</v>
      </c>
      <c r="S15" s="14">
        <v>90</v>
      </c>
      <c r="T15" s="15">
        <v>100</v>
      </c>
      <c r="U15" s="13" t="s">
        <v>533</v>
      </c>
      <c r="V15" t="str">
        <f>IFERROR(VLOOKUP(U15,MoveData[],3,FALSE),"")</f>
        <v>Ghost</v>
      </c>
      <c r="W15" t="str">
        <f>IFERROR(VLOOKUP(U15,MoveData[],4,FALSE),"")</f>
        <v>Special</v>
      </c>
      <c r="X15" s="14">
        <v>80</v>
      </c>
      <c r="Y15" s="15">
        <v>100</v>
      </c>
      <c r="Z15" s="13" t="s">
        <v>299</v>
      </c>
      <c r="AA15" t="str">
        <f>IFERROR(VLOOKUP(Z15,MoveData[],3,FALSE),"")</f>
        <v>Steel</v>
      </c>
      <c r="AB15" t="str">
        <f>IFERROR(VLOOKUP(Z15,MoveData[],4,FALSE),"")</f>
        <v>Special</v>
      </c>
      <c r="AC15" s="14">
        <v>80</v>
      </c>
      <c r="AD15" s="15">
        <v>100</v>
      </c>
      <c r="AE15" s="13" t="s">
        <v>780</v>
      </c>
      <c r="AF15" t="str">
        <f>IFERROR(VLOOKUP(AE15,MoveData[],3,FALSE),"")</f>
        <v>Steel</v>
      </c>
      <c r="AG15" t="str">
        <f>IFERROR(VLOOKUP(AE15,MoveData[],4,FALSE),"")</f>
        <v>Status</v>
      </c>
      <c r="AH15" s="14">
        <v>0</v>
      </c>
      <c r="AI15" s="15">
        <v>100</v>
      </c>
      <c r="AJ15" s="13" t="s">
        <v>845</v>
      </c>
      <c r="AK15" s="13" t="s">
        <v>839</v>
      </c>
    </row>
    <row r="16" spans="1:37">
      <c r="A16" s="13" t="s">
        <v>778</v>
      </c>
      <c r="B16" s="13" t="s">
        <v>1374</v>
      </c>
      <c r="C16" s="13">
        <v>1</v>
      </c>
      <c r="D16" s="13">
        <v>2</v>
      </c>
      <c r="E16" s="13" t="s">
        <v>781</v>
      </c>
      <c r="F16" s="13" t="s">
        <v>47</v>
      </c>
      <c r="G16" s="13" t="s">
        <v>46</v>
      </c>
      <c r="H16" s="18">
        <v>88</v>
      </c>
      <c r="I16" s="18">
        <v>120</v>
      </c>
      <c r="J16" s="18">
        <v>75</v>
      </c>
      <c r="K16" s="18">
        <v>100</v>
      </c>
      <c r="L16" s="18">
        <v>75</v>
      </c>
      <c r="M16" s="18">
        <v>142</v>
      </c>
      <c r="N16" s="18">
        <v>62</v>
      </c>
      <c r="O16" s="18" t="s">
        <v>820</v>
      </c>
      <c r="P16" s="13" t="s">
        <v>533</v>
      </c>
      <c r="Q16" t="str">
        <f>IFERROR(VLOOKUP(P16,MoveData[],3,FALSE),"")</f>
        <v>Ghost</v>
      </c>
      <c r="R16" t="str">
        <f>IFERROR(VLOOKUP(P16,MoveData[],4,FALSE),"")</f>
        <v>Special</v>
      </c>
      <c r="S16" s="14">
        <v>80</v>
      </c>
      <c r="T16" s="15">
        <v>100</v>
      </c>
      <c r="U16" s="13" t="s">
        <v>297</v>
      </c>
      <c r="V16" t="str">
        <f>IFERROR(VLOOKUP(U16,MoveData[],3,FALSE),"")</f>
        <v>Fire</v>
      </c>
      <c r="W16" t="str">
        <f>IFERROR(VLOOKUP(U16,MoveData[],4,FALSE),"")</f>
        <v>Special</v>
      </c>
      <c r="X16" s="14">
        <v>90</v>
      </c>
      <c r="Y16" s="15">
        <v>100</v>
      </c>
      <c r="Z16" s="13" t="s">
        <v>617</v>
      </c>
      <c r="AA16" t="str">
        <f>IFERROR(VLOOKUP(Z16,MoveData[],3,FALSE),"")</f>
        <v>Electric</v>
      </c>
      <c r="AB16" t="str">
        <f>IFERROR(VLOOKUP(Z16,MoveData[],4,FALSE),"")</f>
        <v>Special</v>
      </c>
      <c r="AC16" s="14">
        <v>90</v>
      </c>
      <c r="AD16" s="15">
        <v>100</v>
      </c>
      <c r="AE16" s="13" t="s">
        <v>240</v>
      </c>
      <c r="AF16" t="str">
        <f>IFERROR(VLOOKUP(AE16,MoveData[],3,FALSE),"")</f>
        <v>Dragon</v>
      </c>
      <c r="AG16" t="str">
        <f>IFERROR(VLOOKUP(AE16,MoveData[],4,FALSE),"")</f>
        <v>Special</v>
      </c>
      <c r="AH16" s="14">
        <v>60</v>
      </c>
      <c r="AI16" s="15">
        <v>100</v>
      </c>
      <c r="AJ16" s="13" t="s">
        <v>846</v>
      </c>
      <c r="AK16" s="13" t="s">
        <v>831</v>
      </c>
    </row>
    <row r="17" spans="1:37">
      <c r="A17" s="13" t="s">
        <v>778</v>
      </c>
      <c r="B17" s="13" t="s">
        <v>1374</v>
      </c>
      <c r="C17" s="13">
        <v>1</v>
      </c>
      <c r="D17" s="13">
        <v>3</v>
      </c>
      <c r="E17" s="13" t="s">
        <v>782</v>
      </c>
      <c r="F17" s="13" t="s">
        <v>47</v>
      </c>
      <c r="G17" s="13"/>
      <c r="H17" s="18">
        <v>76</v>
      </c>
      <c r="I17" s="18">
        <v>147</v>
      </c>
      <c r="J17" s="18">
        <v>90</v>
      </c>
      <c r="K17" s="18">
        <v>60</v>
      </c>
      <c r="L17" s="18">
        <v>70</v>
      </c>
      <c r="M17" s="18">
        <v>97</v>
      </c>
      <c r="N17" s="18">
        <v>63</v>
      </c>
      <c r="O17" s="18" t="s">
        <v>820</v>
      </c>
      <c r="P17" s="13" t="s">
        <v>467</v>
      </c>
      <c r="Q17" t="str">
        <f>IFERROR(VLOOKUP(P17,MoveData[],3,FALSE),"")</f>
        <v>Poison</v>
      </c>
      <c r="R17" t="str">
        <f>IFERROR(VLOOKUP(P17,MoveData[],4,FALSE),"")</f>
        <v>Physical</v>
      </c>
      <c r="S17" s="14">
        <v>80</v>
      </c>
      <c r="T17" s="15">
        <v>100</v>
      </c>
      <c r="U17" s="13" t="s">
        <v>376</v>
      </c>
      <c r="V17" t="str">
        <f>IFERROR(VLOOKUP(U17,MoveData[],3,FALSE),"")</f>
        <v>Steel</v>
      </c>
      <c r="W17" t="str">
        <f>IFERROR(VLOOKUP(U17,MoveData[],4,FALSE),"")</f>
        <v>Physical</v>
      </c>
      <c r="X17" s="14">
        <v>100</v>
      </c>
      <c r="Y17" s="15">
        <v>75</v>
      </c>
      <c r="Z17" s="13" t="s">
        <v>450</v>
      </c>
      <c r="AA17" t="str">
        <f>IFERROR(VLOOKUP(Z17,MoveData[],3,FALSE),"")</f>
        <v>Dragon</v>
      </c>
      <c r="AB17" t="str">
        <f>IFERROR(VLOOKUP(Z17,MoveData[],4,FALSE),"")</f>
        <v>Physical</v>
      </c>
      <c r="AC17" s="14">
        <v>120</v>
      </c>
      <c r="AD17" s="15">
        <v>100</v>
      </c>
      <c r="AE17" s="13" t="s">
        <v>259</v>
      </c>
      <c r="AF17" t="str">
        <f>IFERROR(VLOOKUP(AE17,MoveData[],3,FALSE),"")</f>
        <v>Ground</v>
      </c>
      <c r="AG17" t="str">
        <f>IFERROR(VLOOKUP(AE17,MoveData[],4,FALSE),"")</f>
        <v>Physical</v>
      </c>
      <c r="AH17" s="14">
        <v>100</v>
      </c>
      <c r="AI17" s="15">
        <v>100</v>
      </c>
      <c r="AJ17" s="13" t="s">
        <v>847</v>
      </c>
      <c r="AK17" s="13" t="s">
        <v>831</v>
      </c>
    </row>
    <row r="18" spans="1:37">
      <c r="A18" s="13" t="s">
        <v>778</v>
      </c>
      <c r="B18" s="13" t="s">
        <v>1374</v>
      </c>
      <c r="C18" s="13">
        <v>1</v>
      </c>
      <c r="D18" s="13">
        <v>4</v>
      </c>
      <c r="E18" s="13" t="s">
        <v>783</v>
      </c>
      <c r="F18" s="13" t="s">
        <v>40</v>
      </c>
      <c r="G18" s="13" t="s">
        <v>22</v>
      </c>
      <c r="H18" s="18">
        <v>80</v>
      </c>
      <c r="I18" s="18">
        <v>85</v>
      </c>
      <c r="J18" s="18">
        <v>75</v>
      </c>
      <c r="K18" s="18">
        <v>110</v>
      </c>
      <c r="L18" s="18">
        <v>100</v>
      </c>
      <c r="M18" s="18">
        <v>70</v>
      </c>
      <c r="N18" s="18">
        <v>64</v>
      </c>
      <c r="O18" s="18" t="s">
        <v>820</v>
      </c>
      <c r="P18" s="13" t="s">
        <v>22</v>
      </c>
      <c r="Q18" t="str">
        <f>IFERROR(VLOOKUP(P18,MoveData[],3,FALSE),"")</f>
        <v>Psychic</v>
      </c>
      <c r="R18" t="str">
        <f>IFERROR(VLOOKUP(P18,MoveData[],4,FALSE),"")</f>
        <v>Special</v>
      </c>
      <c r="S18" s="14">
        <v>90</v>
      </c>
      <c r="T18" s="15">
        <v>100</v>
      </c>
      <c r="U18" s="13" t="s">
        <v>311</v>
      </c>
      <c r="V18" t="str">
        <f>IFERROR(VLOOKUP(U18,MoveData[],3,FALSE),"")</f>
        <v>Ice</v>
      </c>
      <c r="W18" t="str">
        <f>IFERROR(VLOOKUP(U18,MoveData[],4,FALSE),"")</f>
        <v>Special</v>
      </c>
      <c r="X18" s="14">
        <v>70</v>
      </c>
      <c r="Y18" s="15">
        <v>100</v>
      </c>
      <c r="Z18" s="13" t="s">
        <v>617</v>
      </c>
      <c r="AA18" t="str">
        <f>IFERROR(VLOOKUP(Z18,MoveData[],3,FALSE),"")</f>
        <v>Electric</v>
      </c>
      <c r="AB18" t="str">
        <f>IFERROR(VLOOKUP(Z18,MoveData[],4,FALSE),"")</f>
        <v>Special</v>
      </c>
      <c r="AC18" s="14">
        <v>90</v>
      </c>
      <c r="AD18" s="15">
        <v>100</v>
      </c>
      <c r="AE18" s="13" t="s">
        <v>784</v>
      </c>
      <c r="AF18" t="str">
        <f>IFERROR(VLOOKUP(AE18,MoveData[],3,FALSE),"")</f>
        <v>Normal</v>
      </c>
      <c r="AG18" t="str">
        <f>IFERROR(VLOOKUP(AE18,MoveData[],4,FALSE),"")</f>
        <v>Status</v>
      </c>
      <c r="AH18" s="14">
        <v>0</v>
      </c>
      <c r="AI18" s="15">
        <v>100</v>
      </c>
      <c r="AJ18" s="13" t="s">
        <v>848</v>
      </c>
      <c r="AK18" s="13" t="s">
        <v>831</v>
      </c>
    </row>
    <row r="19" spans="1:37">
      <c r="A19" s="13" t="s">
        <v>778</v>
      </c>
      <c r="B19" s="13" t="s">
        <v>1374</v>
      </c>
      <c r="C19" s="13">
        <v>1</v>
      </c>
      <c r="D19" s="13">
        <v>5</v>
      </c>
      <c r="E19" s="13" t="s">
        <v>785</v>
      </c>
      <c r="F19" s="13" t="s">
        <v>34</v>
      </c>
      <c r="G19" s="13"/>
      <c r="H19" s="18">
        <v>70</v>
      </c>
      <c r="I19" s="18">
        <v>85</v>
      </c>
      <c r="J19" s="18">
        <v>65</v>
      </c>
      <c r="K19" s="18">
        <v>125</v>
      </c>
      <c r="L19" s="18">
        <v>65</v>
      </c>
      <c r="M19" s="18">
        <v>120</v>
      </c>
      <c r="N19" s="18">
        <v>64</v>
      </c>
      <c r="O19" s="18" t="s">
        <v>820</v>
      </c>
      <c r="P19" s="13" t="s">
        <v>561</v>
      </c>
      <c r="Q19" t="str">
        <f>IFERROR(VLOOKUP(P19,MoveData[],3,FALSE),"")</f>
        <v>Water</v>
      </c>
      <c r="R19" t="str">
        <f>IFERROR(VLOOKUP(P19,MoveData[],4,FALSE),"")</f>
        <v>Special</v>
      </c>
      <c r="S19" s="14">
        <v>80</v>
      </c>
      <c r="T19" s="15">
        <v>100</v>
      </c>
      <c r="U19" s="13" t="s">
        <v>223</v>
      </c>
      <c r="V19" t="str">
        <f>IFERROR(VLOOKUP(U19,MoveData[],3,FALSE),"")</f>
        <v>Dark</v>
      </c>
      <c r="W19" t="str">
        <f>IFERROR(VLOOKUP(U19,MoveData[],4,FALSE),"")</f>
        <v>Special</v>
      </c>
      <c r="X19" s="14">
        <v>80</v>
      </c>
      <c r="Y19" s="15">
        <v>100</v>
      </c>
      <c r="Z19" s="13" t="s">
        <v>434</v>
      </c>
      <c r="AA19" t="str">
        <f>IFERROR(VLOOKUP(Z19,MoveData[],3,FALSE),"")</f>
        <v>Ground</v>
      </c>
      <c r="AB19" t="str">
        <f>IFERROR(VLOOKUP(Z19,MoveData[],4,FALSE),"")</f>
        <v>Special</v>
      </c>
      <c r="AC19" s="14">
        <v>55</v>
      </c>
      <c r="AD19" s="15">
        <v>95</v>
      </c>
      <c r="AE19" s="13" t="s">
        <v>687</v>
      </c>
      <c r="AF19" t="str">
        <f>IFERROR(VLOOKUP(AE19,MoveData[],3,FALSE),"")</f>
        <v>Normal</v>
      </c>
      <c r="AG19" t="str">
        <f>IFERROR(VLOOKUP(AE19,MoveData[],4,FALSE),"")</f>
        <v>Status</v>
      </c>
      <c r="AH19" s="14">
        <v>0</v>
      </c>
      <c r="AI19" s="15">
        <v>100</v>
      </c>
      <c r="AJ19" s="13" t="s">
        <v>849</v>
      </c>
      <c r="AK19" s="13" t="s">
        <v>843</v>
      </c>
    </row>
    <row r="20" spans="1:37">
      <c r="A20" s="13" t="s">
        <v>778</v>
      </c>
      <c r="B20" s="13" t="s">
        <v>1374</v>
      </c>
      <c r="C20" s="13">
        <v>1</v>
      </c>
      <c r="D20" s="13">
        <v>6</v>
      </c>
      <c r="E20" s="13" t="s">
        <v>786</v>
      </c>
      <c r="F20" s="13" t="s">
        <v>19</v>
      </c>
      <c r="G20" s="13" t="s">
        <v>35</v>
      </c>
      <c r="H20" s="18">
        <v>78</v>
      </c>
      <c r="I20" s="18">
        <v>84</v>
      </c>
      <c r="J20" s="18">
        <v>78</v>
      </c>
      <c r="K20" s="18">
        <v>109</v>
      </c>
      <c r="L20" s="18">
        <v>85</v>
      </c>
      <c r="M20" s="18">
        <v>100</v>
      </c>
      <c r="N20" s="18">
        <v>65</v>
      </c>
      <c r="O20" s="18" t="s">
        <v>820</v>
      </c>
      <c r="P20" s="13" t="s">
        <v>787</v>
      </c>
      <c r="Q20" t="s">
        <v>19</v>
      </c>
      <c r="R20" t="s">
        <v>42</v>
      </c>
      <c r="S20" s="14">
        <v>140</v>
      </c>
      <c r="T20" s="15">
        <v>100</v>
      </c>
      <c r="U20" s="13" t="s">
        <v>404</v>
      </c>
      <c r="V20" t="s">
        <v>35</v>
      </c>
      <c r="W20" t="s">
        <v>42</v>
      </c>
      <c r="X20" s="14">
        <v>130</v>
      </c>
      <c r="Y20" s="15">
        <v>100</v>
      </c>
      <c r="Z20" s="13" t="s">
        <v>63</v>
      </c>
      <c r="AA20" t="s">
        <v>43</v>
      </c>
      <c r="AB20" t="s">
        <v>42</v>
      </c>
      <c r="AC20" s="14">
        <v>140</v>
      </c>
      <c r="AD20" s="15">
        <v>100</v>
      </c>
      <c r="AE20" s="13" t="s">
        <v>124</v>
      </c>
      <c r="AF20" t="s">
        <v>25</v>
      </c>
      <c r="AG20" t="s">
        <v>42</v>
      </c>
      <c r="AH20" s="14">
        <v>110</v>
      </c>
      <c r="AI20" s="15">
        <v>100</v>
      </c>
      <c r="AJ20" s="13" t="s">
        <v>850</v>
      </c>
      <c r="AK20" s="13" t="s">
        <v>843</v>
      </c>
    </row>
    <row r="21" spans="1:37">
      <c r="A21" s="13" t="s">
        <v>725</v>
      </c>
      <c r="B21" s="13" t="s">
        <v>726</v>
      </c>
      <c r="C21" s="13">
        <v>1</v>
      </c>
      <c r="D21" s="13">
        <v>1</v>
      </c>
      <c r="E21" s="13" t="s">
        <v>730</v>
      </c>
      <c r="F21" s="13" t="s">
        <v>53</v>
      </c>
      <c r="G21" s="13" t="s">
        <v>20</v>
      </c>
      <c r="H21" s="18">
        <v>48</v>
      </c>
      <c r="I21" s="18">
        <v>61</v>
      </c>
      <c r="J21" s="18">
        <v>40</v>
      </c>
      <c r="K21" s="18">
        <v>61</v>
      </c>
      <c r="L21" s="18">
        <v>40</v>
      </c>
      <c r="M21" s="18">
        <v>50</v>
      </c>
      <c r="N21" s="18">
        <v>24</v>
      </c>
      <c r="O21" s="18" t="s">
        <v>820</v>
      </c>
      <c r="P21" s="13" t="s">
        <v>468</v>
      </c>
      <c r="Q21" t="str">
        <f>IFERROR(VLOOKUP(P21,MoveData[],3,FALSE),"")</f>
        <v>Poison</v>
      </c>
      <c r="R21" t="str">
        <f>IFERROR(VLOOKUP(P21,MoveData[],4,FALSE),"")</f>
        <v>Physical</v>
      </c>
      <c r="S21" s="14">
        <v>15</v>
      </c>
      <c r="T21" s="15">
        <v>100</v>
      </c>
      <c r="U21" s="13" t="s">
        <v>632</v>
      </c>
      <c r="V21" t="str">
        <f>IFERROR(VLOOKUP(U21,MoveData[],3,FALSE),"")</f>
        <v>Poison</v>
      </c>
      <c r="W21" t="str">
        <f>IFERROR(VLOOKUP(U21,MoveData[],4,FALSE),"")</f>
        <v>Special</v>
      </c>
      <c r="X21" s="14">
        <v>65</v>
      </c>
      <c r="Y21" s="15">
        <v>100</v>
      </c>
      <c r="Z21" s="13" t="s">
        <v>503</v>
      </c>
      <c r="AA21" t="str">
        <f>IFERROR(VLOOKUP(Z21,MoveData[],3,FALSE),"")</f>
        <v>Fighting</v>
      </c>
      <c r="AB21" t="str">
        <f>IFERROR(VLOOKUP(Z21,MoveData[],4,FALSE),"")</f>
        <v>Physical</v>
      </c>
      <c r="AC21" s="14">
        <v>60</v>
      </c>
      <c r="AD21" s="15">
        <v>100</v>
      </c>
      <c r="AE21" s="13" t="s">
        <v>595</v>
      </c>
      <c r="AF21" t="str">
        <f>IFERROR(VLOOKUP(AE21,MoveData[],3,FALSE),"")</f>
        <v>Dark</v>
      </c>
      <c r="AG21" t="str">
        <f>IFERROR(VLOOKUP(AE21,MoveData[],4,FALSE),"")</f>
        <v>Physical</v>
      </c>
      <c r="AH21" s="14">
        <v>70</v>
      </c>
      <c r="AI21" s="15">
        <v>100</v>
      </c>
      <c r="AJ21" s="13" t="s">
        <v>851</v>
      </c>
      <c r="AK21" s="13" t="s">
        <v>831</v>
      </c>
    </row>
    <row r="22" spans="1:37">
      <c r="A22" s="13" t="s">
        <v>725</v>
      </c>
      <c r="B22" s="13" t="s">
        <v>726</v>
      </c>
      <c r="C22" s="13">
        <v>1</v>
      </c>
      <c r="D22" s="13">
        <v>2</v>
      </c>
      <c r="E22" s="13" t="s">
        <v>728</v>
      </c>
      <c r="F22" s="13" t="s">
        <v>38</v>
      </c>
      <c r="G22" s="13" t="s">
        <v>20</v>
      </c>
      <c r="H22" s="18">
        <v>50</v>
      </c>
      <c r="I22" s="18">
        <v>75</v>
      </c>
      <c r="J22" s="18">
        <v>70</v>
      </c>
      <c r="K22" s="18">
        <v>35</v>
      </c>
      <c r="L22" s="18">
        <v>70</v>
      </c>
      <c r="M22" s="18">
        <v>48</v>
      </c>
      <c r="N22" s="18">
        <v>24</v>
      </c>
      <c r="O22" s="18" t="s">
        <v>820</v>
      </c>
      <c r="P22" s="13" t="s">
        <v>162</v>
      </c>
      <c r="Q22" t="str">
        <f>IFERROR(VLOOKUP(P22,MoveData[],3,FALSE),"")</f>
        <v>Dark</v>
      </c>
      <c r="R22" t="str">
        <f>IFERROR(VLOOKUP(P22,MoveData[],4,FALSE),"")</f>
        <v>Physical</v>
      </c>
      <c r="S22" s="14">
        <v>0</v>
      </c>
      <c r="T22" s="15">
        <v>100</v>
      </c>
      <c r="U22" s="13" t="s">
        <v>341</v>
      </c>
      <c r="V22" t="str">
        <f>IFERROR(VLOOKUP(U22,MoveData[],3,FALSE),"")</f>
        <v>Normal</v>
      </c>
      <c r="W22" t="str">
        <f>IFERROR(VLOOKUP(U22,MoveData[],4,FALSE),"")</f>
        <v>Physical</v>
      </c>
      <c r="X22" s="14">
        <v>70</v>
      </c>
      <c r="Y22" s="15">
        <v>100</v>
      </c>
      <c r="Z22" s="13" t="s">
        <v>395</v>
      </c>
      <c r="AA22" t="str">
        <f>IFERROR(VLOOKUP(Z22,MoveData[],3,FALSE),"")</f>
        <v>Fighting</v>
      </c>
      <c r="AB22" t="str">
        <f>IFERROR(VLOOKUP(Z22,MoveData[],4,FALSE),"")</f>
        <v>Physical</v>
      </c>
      <c r="AC22" s="14">
        <v>0</v>
      </c>
      <c r="AD22" s="15">
        <v>100</v>
      </c>
      <c r="AE22" s="13"/>
      <c r="AF22" t="str">
        <f>IFERROR(VLOOKUP(AE22,MoveData[],3,FALSE),"")</f>
        <v/>
      </c>
      <c r="AG22" t="str">
        <f>IFERROR(VLOOKUP(AE22,MoveData[],4,FALSE),"")</f>
        <v/>
      </c>
      <c r="AH22" s="14">
        <v>0</v>
      </c>
      <c r="AI22" s="15">
        <v>100</v>
      </c>
      <c r="AJ22" s="13" t="s">
        <v>852</v>
      </c>
      <c r="AK22" s="13" t="s">
        <v>831</v>
      </c>
    </row>
    <row r="23" spans="1:37">
      <c r="A23" s="13" t="s">
        <v>725</v>
      </c>
      <c r="B23" s="13" t="s">
        <v>726</v>
      </c>
      <c r="C23" s="13">
        <v>1</v>
      </c>
      <c r="D23" s="13">
        <v>3</v>
      </c>
      <c r="E23" s="13" t="s">
        <v>735</v>
      </c>
      <c r="F23" s="13" t="s">
        <v>41</v>
      </c>
      <c r="G23" s="13" t="s">
        <v>38</v>
      </c>
      <c r="H23" s="18">
        <v>58</v>
      </c>
      <c r="I23" s="18">
        <v>95</v>
      </c>
      <c r="J23" s="18">
        <v>58</v>
      </c>
      <c r="K23" s="18">
        <v>70</v>
      </c>
      <c r="L23" s="18">
        <v>58</v>
      </c>
      <c r="M23" s="18">
        <v>97</v>
      </c>
      <c r="N23" s="18">
        <v>26</v>
      </c>
      <c r="O23" s="18" t="s">
        <v>820</v>
      </c>
      <c r="P23" s="13" t="s">
        <v>493</v>
      </c>
      <c r="Q23" t="str">
        <f>IFERROR(VLOOKUP(P23,MoveData[],3,FALSE),"")</f>
        <v>Normal</v>
      </c>
      <c r="R23" t="str">
        <f>IFERROR(VLOOKUP(P23,MoveData[],4,FALSE),"")</f>
        <v>Physical</v>
      </c>
      <c r="S23" s="14">
        <v>40</v>
      </c>
      <c r="T23" s="15">
        <v>100</v>
      </c>
      <c r="U23" s="13" t="s">
        <v>616</v>
      </c>
      <c r="V23" t="str">
        <f>IFERROR(VLOOKUP(U23,MoveData[],3,FALSE),"")</f>
        <v>Electric</v>
      </c>
      <c r="W23" t="str">
        <f>IFERROR(VLOOKUP(U23,MoveData[],4,FALSE),"")</f>
        <v>Special</v>
      </c>
      <c r="X23" s="14">
        <v>40</v>
      </c>
      <c r="Y23" s="15">
        <v>100</v>
      </c>
      <c r="Z23" s="13" t="s">
        <v>106</v>
      </c>
      <c r="AA23" t="str">
        <f>IFERROR(VLOOKUP(Z23,MoveData[],3,FALSE),"")</f>
        <v>Dark</v>
      </c>
      <c r="AB23" t="str">
        <f>IFERROR(VLOOKUP(Z23,MoveData[],4,FALSE),"")</f>
        <v>Physical</v>
      </c>
      <c r="AC23" s="14">
        <v>60</v>
      </c>
      <c r="AD23" s="15">
        <v>100</v>
      </c>
      <c r="AE23" s="13"/>
      <c r="AF23" t="str">
        <f>IFERROR(VLOOKUP(AE23,MoveData[],3,FALSE),"")</f>
        <v/>
      </c>
      <c r="AG23" t="str">
        <f>IFERROR(VLOOKUP(AE23,MoveData[],4,FALSE),"")</f>
        <v/>
      </c>
      <c r="AH23" s="14">
        <v>0</v>
      </c>
      <c r="AI23" s="15">
        <v>100</v>
      </c>
      <c r="AJ23" s="13" t="s">
        <v>878</v>
      </c>
      <c r="AK23" s="13" t="s">
        <v>839</v>
      </c>
    </row>
    <row r="24" spans="1:37">
      <c r="A24" s="13" t="s">
        <v>57</v>
      </c>
      <c r="B24" s="13" t="s">
        <v>58</v>
      </c>
      <c r="C24" s="13">
        <v>1</v>
      </c>
      <c r="D24" s="13">
        <v>1</v>
      </c>
      <c r="E24" s="13" t="s">
        <v>59</v>
      </c>
      <c r="F24" s="13" t="s">
        <v>43</v>
      </c>
      <c r="G24" s="13"/>
      <c r="H24" s="18">
        <v>40</v>
      </c>
      <c r="I24" s="18">
        <v>40</v>
      </c>
      <c r="J24" s="18">
        <v>60</v>
      </c>
      <c r="K24" s="18">
        <v>40</v>
      </c>
      <c r="L24" s="18">
        <v>60</v>
      </c>
      <c r="M24" s="18">
        <v>10</v>
      </c>
      <c r="N24" s="18">
        <v>19</v>
      </c>
      <c r="O24" s="18" t="s">
        <v>820</v>
      </c>
      <c r="P24" s="13" t="s">
        <v>45</v>
      </c>
      <c r="Q24" t="str">
        <f>IFERROR(VLOOKUP(P24,MoveData[],3,FALSE),"")</f>
        <v>Grass</v>
      </c>
      <c r="R24" t="str">
        <f>IFERROR(VLOOKUP(P24,MoveData[],4,FALSE),"")</f>
        <v>Special</v>
      </c>
      <c r="S24" s="14">
        <v>60</v>
      </c>
      <c r="T24" s="15">
        <v>100</v>
      </c>
      <c r="U24" s="13" t="s">
        <v>60</v>
      </c>
      <c r="V24" t="str">
        <f>IFERROR(VLOOKUP(U24,MoveData[],3,FALSE),"")</f>
        <v>Normal</v>
      </c>
      <c r="W24" t="str">
        <f>IFERROR(VLOOKUP(U24,MoveData[],4,FALSE),"")</f>
        <v>Special</v>
      </c>
      <c r="X24" s="14">
        <v>60</v>
      </c>
      <c r="Y24" s="15">
        <v>100</v>
      </c>
      <c r="Z24" s="13" t="s">
        <v>61</v>
      </c>
      <c r="AA24" t="str">
        <f>IFERROR(VLOOKUP(Z24,MoveData[],3,FALSE),"")</f>
        <v>Normal</v>
      </c>
      <c r="AB24" t="str">
        <f>IFERROR(VLOOKUP(Z24,MoveData[],4,FALSE),"")</f>
        <v>Physical</v>
      </c>
      <c r="AC24" s="14">
        <v>50</v>
      </c>
      <c r="AD24" s="15">
        <v>100</v>
      </c>
      <c r="AE24" s="13"/>
      <c r="AF24" t="str">
        <f>IFERROR(VLOOKUP(AE24,MoveData[],3,FALSE),"")</f>
        <v/>
      </c>
      <c r="AG24" t="str">
        <f>IFERROR(VLOOKUP(AE24,MoveData[],4,FALSE),"")</f>
        <v/>
      </c>
      <c r="AH24" s="14">
        <v>0</v>
      </c>
      <c r="AI24" s="15">
        <v>100</v>
      </c>
      <c r="AJ24" s="13" t="s">
        <v>853</v>
      </c>
      <c r="AK24" s="13" t="s">
        <v>831</v>
      </c>
    </row>
    <row r="25" spans="1:37">
      <c r="A25" s="13" t="s">
        <v>57</v>
      </c>
      <c r="B25" s="13" t="s">
        <v>58</v>
      </c>
      <c r="C25" s="13">
        <v>1</v>
      </c>
      <c r="D25" s="13">
        <v>2</v>
      </c>
      <c r="E25" s="13" t="s">
        <v>62</v>
      </c>
      <c r="F25" s="13" t="s">
        <v>43</v>
      </c>
      <c r="G25" s="13"/>
      <c r="H25" s="18">
        <v>60</v>
      </c>
      <c r="I25" s="18">
        <v>50</v>
      </c>
      <c r="J25" s="18">
        <v>90</v>
      </c>
      <c r="K25" s="18">
        <v>80</v>
      </c>
      <c r="L25" s="18">
        <v>120</v>
      </c>
      <c r="M25" s="18">
        <v>60</v>
      </c>
      <c r="N25" s="18">
        <v>20</v>
      </c>
      <c r="O25" s="18" t="s">
        <v>820</v>
      </c>
      <c r="P25" s="13" t="s">
        <v>63</v>
      </c>
      <c r="Q25" t="s">
        <v>43</v>
      </c>
      <c r="R25" t="s">
        <v>42</v>
      </c>
      <c r="S25" s="14">
        <v>110</v>
      </c>
      <c r="T25" s="15">
        <v>100</v>
      </c>
      <c r="U25" s="13" t="s">
        <v>63</v>
      </c>
      <c r="V25" t="s">
        <v>43</v>
      </c>
      <c r="W25" t="s">
        <v>31</v>
      </c>
      <c r="X25" s="14">
        <v>90</v>
      </c>
      <c r="Y25" s="15">
        <v>100</v>
      </c>
      <c r="Z25" s="13" t="s">
        <v>64</v>
      </c>
      <c r="AA25" t="s">
        <v>32</v>
      </c>
      <c r="AB25" t="s">
        <v>42</v>
      </c>
      <c r="AC25" s="14">
        <v>110</v>
      </c>
      <c r="AD25" s="15">
        <v>100</v>
      </c>
      <c r="AE25" s="13"/>
      <c r="AF25" t="str">
        <f>IFERROR(VLOOKUP(AE25,MoveData[],3,FALSE),"")</f>
        <v/>
      </c>
      <c r="AG25" t="str">
        <f>IFERROR(VLOOKUP(AE25,MoveData[],4,FALSE),"")</f>
        <v/>
      </c>
      <c r="AH25" s="14">
        <v>0</v>
      </c>
      <c r="AI25" s="15">
        <v>100</v>
      </c>
      <c r="AJ25" s="13" t="s">
        <v>853</v>
      </c>
      <c r="AK25" s="13" t="s">
        <v>831</v>
      </c>
    </row>
    <row r="26" spans="1:37">
      <c r="A26" s="13" t="s">
        <v>71</v>
      </c>
      <c r="B26" s="13" t="s">
        <v>70</v>
      </c>
      <c r="C26" s="13">
        <v>1</v>
      </c>
      <c r="D26" s="13">
        <v>1</v>
      </c>
      <c r="E26" s="13" t="s">
        <v>72</v>
      </c>
      <c r="F26" s="13" t="s">
        <v>34</v>
      </c>
      <c r="G26" s="13"/>
      <c r="H26" s="18">
        <v>45</v>
      </c>
      <c r="I26" s="18">
        <v>67</v>
      </c>
      <c r="J26" s="18">
        <v>60</v>
      </c>
      <c r="K26" s="18">
        <v>35</v>
      </c>
      <c r="L26" s="18">
        <v>50</v>
      </c>
      <c r="M26" s="18">
        <v>63</v>
      </c>
      <c r="N26" s="18">
        <v>22</v>
      </c>
      <c r="O26" s="18" t="s">
        <v>820</v>
      </c>
      <c r="P26" s="13" t="s">
        <v>73</v>
      </c>
      <c r="Q26" t="str">
        <f>IFERROR(VLOOKUP(P26,MoveData[],3,FALSE),"")</f>
        <v>Water</v>
      </c>
      <c r="R26" t="str">
        <f>IFERROR(VLOOKUP(P26,MoveData[],4,FALSE),"")</f>
        <v>Special</v>
      </c>
      <c r="S26" s="14">
        <v>60</v>
      </c>
      <c r="T26" s="15">
        <v>100</v>
      </c>
      <c r="U26" s="13" t="s">
        <v>74</v>
      </c>
      <c r="V26" t="str">
        <f>IFERROR(VLOOKUP(U26,MoveData[],3,FALSE),"")</f>
        <v>Water</v>
      </c>
      <c r="W26" t="str">
        <f>IFERROR(VLOOKUP(U26,MoveData[],4,FALSE),"")</f>
        <v>Special</v>
      </c>
      <c r="X26" s="14">
        <v>35</v>
      </c>
      <c r="Y26" s="15">
        <v>85</v>
      </c>
      <c r="Z26" s="13" t="s">
        <v>75</v>
      </c>
      <c r="AA26" t="str">
        <f>IFERROR(VLOOKUP(Z26,MoveData[],3,FALSE),"")</f>
        <v>Normal</v>
      </c>
      <c r="AB26" t="str">
        <f>IFERROR(VLOOKUP(Z26,MoveData[],4,FALSE),"")</f>
        <v>Physical</v>
      </c>
      <c r="AC26" s="14">
        <v>65</v>
      </c>
      <c r="AD26" s="15">
        <v>100</v>
      </c>
      <c r="AE26" s="13" t="s">
        <v>76</v>
      </c>
      <c r="AF26" t="str">
        <f>IFERROR(VLOOKUP(AE26,MoveData[],3,FALSE),"")</f>
        <v>Psychic</v>
      </c>
      <c r="AG26" t="str">
        <f>IFERROR(VLOOKUP(AE26,MoveData[],4,FALSE),"")</f>
        <v>Status</v>
      </c>
      <c r="AH26" s="14">
        <v>0</v>
      </c>
      <c r="AI26" s="15">
        <v>100</v>
      </c>
      <c r="AJ26" s="13" t="s">
        <v>854</v>
      </c>
      <c r="AK26" s="13" t="s">
        <v>831</v>
      </c>
    </row>
    <row r="27" spans="1:37">
      <c r="A27" s="13" t="s">
        <v>71</v>
      </c>
      <c r="B27" s="13" t="s">
        <v>70</v>
      </c>
      <c r="C27" s="13">
        <v>1</v>
      </c>
      <c r="D27" s="13">
        <v>2</v>
      </c>
      <c r="E27" s="13" t="s">
        <v>104</v>
      </c>
      <c r="F27" s="13" t="s">
        <v>34</v>
      </c>
      <c r="G27" s="13"/>
      <c r="H27" s="18">
        <v>41</v>
      </c>
      <c r="I27" s="18">
        <v>63</v>
      </c>
      <c r="J27" s="18">
        <v>40</v>
      </c>
      <c r="K27" s="18">
        <v>40</v>
      </c>
      <c r="L27" s="18">
        <v>30</v>
      </c>
      <c r="M27" s="18">
        <v>66</v>
      </c>
      <c r="N27" s="18">
        <v>23</v>
      </c>
      <c r="O27" s="18" t="s">
        <v>820</v>
      </c>
      <c r="P27" s="13" t="s">
        <v>105</v>
      </c>
      <c r="Q27" t="str">
        <f>IFERROR(VLOOKUP(P27,MoveData[],3,FALSE),"")</f>
        <v>Water</v>
      </c>
      <c r="R27" t="str">
        <f>IFERROR(VLOOKUP(P27,MoveData[],4,FALSE),"")</f>
        <v>Physical</v>
      </c>
      <c r="S27" s="14">
        <v>40</v>
      </c>
      <c r="T27" s="15">
        <v>100</v>
      </c>
      <c r="U27" s="13" t="s">
        <v>106</v>
      </c>
      <c r="V27" t="str">
        <f>IFERROR(VLOOKUP(U27,MoveData[],3,FALSE),"")</f>
        <v>Dark</v>
      </c>
      <c r="W27" t="str">
        <f>IFERROR(VLOOKUP(U27,MoveData[],4,FALSE),"")</f>
        <v>Physical</v>
      </c>
      <c r="X27" s="14">
        <v>60</v>
      </c>
      <c r="Y27" s="15">
        <v>100</v>
      </c>
      <c r="Z27" s="13" t="s">
        <v>74</v>
      </c>
      <c r="AA27" t="str">
        <f>IFERROR(VLOOKUP(Z27,MoveData[],3,FALSE),"")</f>
        <v>Water</v>
      </c>
      <c r="AB27" t="str">
        <f>IFERROR(VLOOKUP(Z27,MoveData[],4,FALSE),"")</f>
        <v>Special</v>
      </c>
      <c r="AC27" s="14">
        <v>35</v>
      </c>
      <c r="AD27" s="15">
        <v>85</v>
      </c>
      <c r="AE27" s="13" t="s">
        <v>107</v>
      </c>
      <c r="AF27" t="str">
        <f>IFERROR(VLOOKUP(AE27,MoveData[],3,FALSE),"")</f>
        <v>Normal</v>
      </c>
      <c r="AG27" t="str">
        <f>IFERROR(VLOOKUP(AE27,MoveData[],4,FALSE),"")</f>
        <v>Physical</v>
      </c>
      <c r="AH27" s="14">
        <v>15</v>
      </c>
      <c r="AI27" s="15">
        <v>85</v>
      </c>
      <c r="AJ27" s="13" t="s">
        <v>854</v>
      </c>
      <c r="AK27" s="13" t="s">
        <v>837</v>
      </c>
    </row>
    <row r="28" spans="1:37">
      <c r="A28" s="13" t="s">
        <v>71</v>
      </c>
      <c r="B28" s="13" t="s">
        <v>70</v>
      </c>
      <c r="C28" s="13">
        <v>1</v>
      </c>
      <c r="D28" s="13">
        <v>3</v>
      </c>
      <c r="E28" s="13" t="s">
        <v>108</v>
      </c>
      <c r="F28" s="13" t="s">
        <v>34</v>
      </c>
      <c r="G28" s="13" t="s">
        <v>25</v>
      </c>
      <c r="H28" s="18">
        <v>90</v>
      </c>
      <c r="I28" s="18">
        <v>115</v>
      </c>
      <c r="J28" s="18">
        <v>90</v>
      </c>
      <c r="K28" s="18">
        <v>48</v>
      </c>
      <c r="L28" s="18">
        <v>68</v>
      </c>
      <c r="M28" s="18">
        <v>74</v>
      </c>
      <c r="N28" s="18">
        <v>24</v>
      </c>
      <c r="O28" s="18" t="s">
        <v>820</v>
      </c>
      <c r="P28" s="13" t="s">
        <v>109</v>
      </c>
      <c r="Q28" t="s">
        <v>34</v>
      </c>
      <c r="R28" t="s">
        <v>31</v>
      </c>
      <c r="S28" s="14">
        <v>130</v>
      </c>
      <c r="T28" s="15">
        <v>100</v>
      </c>
      <c r="U28" s="13" t="s">
        <v>109</v>
      </c>
      <c r="V28" t="s">
        <v>34</v>
      </c>
      <c r="W28" t="s">
        <v>42</v>
      </c>
      <c r="X28" s="14">
        <v>90</v>
      </c>
      <c r="Y28" s="15">
        <v>100</v>
      </c>
      <c r="Z28" s="13" t="s">
        <v>115</v>
      </c>
      <c r="AA28" t="s">
        <v>38</v>
      </c>
      <c r="AB28" t="s">
        <v>31</v>
      </c>
      <c r="AC28" s="14">
        <v>110</v>
      </c>
      <c r="AD28" s="15">
        <v>100</v>
      </c>
      <c r="AE28" s="13" t="s">
        <v>64</v>
      </c>
      <c r="AF28" t="s">
        <v>32</v>
      </c>
      <c r="AG28" t="s">
        <v>31</v>
      </c>
      <c r="AH28" s="14">
        <v>120</v>
      </c>
      <c r="AI28" s="15">
        <v>100</v>
      </c>
      <c r="AJ28" s="13" t="s">
        <v>854</v>
      </c>
      <c r="AK28" s="13" t="s">
        <v>831</v>
      </c>
    </row>
    <row r="29" spans="1:37">
      <c r="A29" s="13" t="s">
        <v>801</v>
      </c>
      <c r="B29" s="13" t="s">
        <v>802</v>
      </c>
      <c r="C29" s="13">
        <v>1</v>
      </c>
      <c r="D29" s="13">
        <v>1</v>
      </c>
      <c r="E29" s="13" t="s">
        <v>803</v>
      </c>
      <c r="F29" s="13" t="s">
        <v>40</v>
      </c>
      <c r="G29" s="13" t="s">
        <v>46</v>
      </c>
      <c r="H29" s="18">
        <v>70</v>
      </c>
      <c r="I29" s="18">
        <v>80</v>
      </c>
      <c r="J29" s="18">
        <v>70</v>
      </c>
      <c r="K29" s="18">
        <v>80</v>
      </c>
      <c r="L29" s="18">
        <v>70</v>
      </c>
      <c r="M29" s="18">
        <v>110</v>
      </c>
      <c r="N29" s="18">
        <v>50</v>
      </c>
      <c r="O29" s="18" t="s">
        <v>820</v>
      </c>
      <c r="P29" s="13" t="s">
        <v>347</v>
      </c>
      <c r="Q29" t="str">
        <f>IFERROR(VLOOKUP(P29,MoveData[],3,FALSE),"")</f>
        <v>Ghost</v>
      </c>
      <c r="R29" t="str">
        <f>IFERROR(VLOOKUP(P29,MoveData[],4,FALSE),"")</f>
        <v>Special</v>
      </c>
      <c r="S29" s="14">
        <v>65</v>
      </c>
      <c r="T29" s="15">
        <v>100</v>
      </c>
      <c r="U29" s="13" t="s">
        <v>370</v>
      </c>
      <c r="V29" t="str">
        <f>IFERROR(VLOOKUP(U29,MoveData[],3,FALSE),"")</f>
        <v>Ice</v>
      </c>
      <c r="W29" t="str">
        <f>IFERROR(VLOOKUP(U29,MoveData[],4,FALSE),"")</f>
        <v>Special</v>
      </c>
      <c r="X29" s="14">
        <v>55</v>
      </c>
      <c r="Y29" s="15">
        <v>95</v>
      </c>
      <c r="Z29" s="13" t="s">
        <v>666</v>
      </c>
      <c r="AA29" t="str">
        <f>IFERROR(VLOOKUP(Z29,MoveData[],3,FALSE),"")</f>
        <v>Fire</v>
      </c>
      <c r="AB29" t="str">
        <f>IFERROR(VLOOKUP(Z29,MoveData[],4,FALSE),"")</f>
        <v>Status</v>
      </c>
      <c r="AC29" s="14">
        <v>0</v>
      </c>
      <c r="AD29" s="15">
        <v>85</v>
      </c>
      <c r="AE29" s="13" t="s">
        <v>804</v>
      </c>
      <c r="AF29" t="str">
        <f>IFERROR(VLOOKUP(AE29,MoveData[],3,FALSE),"")</f>
        <v>Normal</v>
      </c>
      <c r="AG29" t="str">
        <f>IFERROR(VLOOKUP(AE29,MoveData[],4,FALSE),"")</f>
        <v>Status</v>
      </c>
      <c r="AH29" s="14">
        <v>0</v>
      </c>
      <c r="AI29" s="15">
        <v>100</v>
      </c>
      <c r="AJ29" s="13" t="s">
        <v>855</v>
      </c>
      <c r="AK29" s="13" t="s">
        <v>837</v>
      </c>
    </row>
    <row r="30" spans="1:37">
      <c r="A30" s="13" t="s">
        <v>801</v>
      </c>
      <c r="B30" s="13" t="s">
        <v>802</v>
      </c>
      <c r="C30" s="13">
        <v>1</v>
      </c>
      <c r="D30" s="13">
        <v>4</v>
      </c>
      <c r="E30" s="13" t="s">
        <v>805</v>
      </c>
      <c r="F30" s="13" t="s">
        <v>43</v>
      </c>
      <c r="G30" s="13"/>
      <c r="H30" s="18">
        <v>72</v>
      </c>
      <c r="I30" s="18">
        <v>120</v>
      </c>
      <c r="J30" s="18">
        <v>98</v>
      </c>
      <c r="K30" s="18">
        <v>50</v>
      </c>
      <c r="L30" s="18">
        <v>98</v>
      </c>
      <c r="M30" s="18">
        <v>72</v>
      </c>
      <c r="N30" s="18">
        <v>50</v>
      </c>
      <c r="O30" s="18" t="s">
        <v>820</v>
      </c>
      <c r="P30" s="13" t="s">
        <v>623</v>
      </c>
      <c r="Q30" t="str">
        <f>IFERROR(VLOOKUP(P30,MoveData[],3,FALSE),"")</f>
        <v>Grass</v>
      </c>
      <c r="R30" t="str">
        <f>IFERROR(VLOOKUP(P30,MoveData[],4,FALSE),"")</f>
        <v>Physical</v>
      </c>
      <c r="S30" s="14">
        <v>70</v>
      </c>
      <c r="T30" s="15">
        <v>100</v>
      </c>
      <c r="U30" s="13" t="s">
        <v>584</v>
      </c>
      <c r="V30" t="str">
        <f>IFERROR(VLOOKUP(U30,MoveData[],3,FALSE),"")</f>
        <v>Normal</v>
      </c>
      <c r="W30" t="str">
        <f>IFERROR(VLOOKUP(U30,MoveData[],4,FALSE),"")</f>
        <v>Physical</v>
      </c>
      <c r="X30" s="14">
        <v>65</v>
      </c>
      <c r="Y30" s="15">
        <v>100</v>
      </c>
      <c r="Z30" s="13" t="s">
        <v>141</v>
      </c>
      <c r="AA30" t="str">
        <f>IFERROR(VLOOKUP(Z30,MoveData[],3,FALSE),"")</f>
        <v>Flying</v>
      </c>
      <c r="AB30" t="str">
        <f>IFERROR(VLOOKUP(Z30,MoveData[],4,FALSE),"")</f>
        <v>Physical</v>
      </c>
      <c r="AC30" s="14">
        <v>55</v>
      </c>
      <c r="AD30" s="15">
        <v>100</v>
      </c>
      <c r="AE30" s="13" t="s">
        <v>806</v>
      </c>
      <c r="AF30" t="str">
        <f>IFERROR(VLOOKUP(AE30,MoveData[],3,FALSE),"")</f>
        <v>Normal</v>
      </c>
      <c r="AG30" t="str">
        <f>IFERROR(VLOOKUP(AE30,MoveData[],4,FALSE),"")</f>
        <v>Status</v>
      </c>
      <c r="AH30" s="14">
        <v>0</v>
      </c>
      <c r="AI30" s="15">
        <v>100</v>
      </c>
      <c r="AJ30" s="13" t="s">
        <v>856</v>
      </c>
      <c r="AK30" s="13" t="s">
        <v>831</v>
      </c>
    </row>
    <row r="31" spans="1:37">
      <c r="A31" s="13" t="s">
        <v>801</v>
      </c>
      <c r="B31" s="13" t="s">
        <v>802</v>
      </c>
      <c r="C31" s="13">
        <v>1</v>
      </c>
      <c r="D31" s="13">
        <v>3</v>
      </c>
      <c r="E31" s="13" t="s">
        <v>807</v>
      </c>
      <c r="F31" s="13" t="s">
        <v>53</v>
      </c>
      <c r="G31" s="13" t="s">
        <v>19</v>
      </c>
      <c r="H31" s="18">
        <v>68</v>
      </c>
      <c r="I31" s="18">
        <v>64</v>
      </c>
      <c r="J31" s="18">
        <v>60</v>
      </c>
      <c r="K31" s="18">
        <v>111</v>
      </c>
      <c r="L31" s="18">
        <v>60</v>
      </c>
      <c r="M31" s="18">
        <v>117</v>
      </c>
      <c r="N31" s="18">
        <v>50</v>
      </c>
      <c r="O31" s="18" t="s">
        <v>820</v>
      </c>
      <c r="P31" s="13" t="s">
        <v>632</v>
      </c>
      <c r="Q31" t="str">
        <f>IFERROR(VLOOKUP(P31,MoveData[],3,FALSE),"")</f>
        <v>Poison</v>
      </c>
      <c r="R31" t="str">
        <f>IFERROR(VLOOKUP(P31,MoveData[],4,FALSE),"")</f>
        <v>Special</v>
      </c>
      <c r="S31" s="14">
        <v>65</v>
      </c>
      <c r="T31" s="15">
        <v>100</v>
      </c>
      <c r="U31" s="13" t="s">
        <v>371</v>
      </c>
      <c r="V31" t="str">
        <f>IFERROR(VLOOKUP(U31,MoveData[],3,FALSE),"")</f>
        <v>Fire</v>
      </c>
      <c r="W31" t="str">
        <f>IFERROR(VLOOKUP(U31,MoveData[],4,FALSE),"")</f>
        <v>Special</v>
      </c>
      <c r="X31" s="14">
        <v>60</v>
      </c>
      <c r="Y31" s="15">
        <v>100</v>
      </c>
      <c r="Z31" s="13" t="s">
        <v>245</v>
      </c>
      <c r="AA31" t="str">
        <f>IFERROR(VLOOKUP(Z31,MoveData[],3,FALSE),"")</f>
        <v>Dragon</v>
      </c>
      <c r="AB31" t="str">
        <f>IFERROR(VLOOKUP(Z31,MoveData[],4,FALSE),"")</f>
        <v>Special</v>
      </c>
      <c r="AC31" s="14">
        <v>85</v>
      </c>
      <c r="AD31" s="15">
        <v>100</v>
      </c>
      <c r="AE31" s="13" t="s">
        <v>808</v>
      </c>
      <c r="AF31" t="str">
        <f>IFERROR(VLOOKUP(AE31,MoveData[],3,FALSE),"")</f>
        <v>Poison</v>
      </c>
      <c r="AG31" t="str">
        <f>IFERROR(VLOOKUP(AE31,MoveData[],4,FALSE),"")</f>
        <v>Status</v>
      </c>
      <c r="AH31" s="14">
        <v>0</v>
      </c>
      <c r="AI31" s="15">
        <v>90</v>
      </c>
      <c r="AJ31" s="13" t="s">
        <v>857</v>
      </c>
      <c r="AK31" s="13" t="s">
        <v>837</v>
      </c>
    </row>
    <row r="32" spans="1:37">
      <c r="A32" s="13" t="s">
        <v>801</v>
      </c>
      <c r="B32" s="13" t="s">
        <v>802</v>
      </c>
      <c r="C32" s="13">
        <v>1</v>
      </c>
      <c r="D32" s="13">
        <v>2</v>
      </c>
      <c r="E32" s="13" t="s">
        <v>809</v>
      </c>
      <c r="F32" s="13" t="s">
        <v>34</v>
      </c>
      <c r="G32" s="13"/>
      <c r="H32" s="18">
        <v>95</v>
      </c>
      <c r="I32" s="18">
        <v>60</v>
      </c>
      <c r="J32" s="18">
        <v>79</v>
      </c>
      <c r="K32" s="18">
        <v>100</v>
      </c>
      <c r="L32" s="18">
        <v>125</v>
      </c>
      <c r="M32" s="18">
        <v>81</v>
      </c>
      <c r="N32" s="18">
        <v>51</v>
      </c>
      <c r="O32" s="18" t="s">
        <v>820</v>
      </c>
      <c r="P32" s="13" t="s">
        <v>599</v>
      </c>
      <c r="Q32" t="str">
        <f>IFERROR(VLOOKUP(P32,MoveData[],3,FALSE),"")</f>
        <v>Water</v>
      </c>
      <c r="R32" t="str">
        <f>IFERROR(VLOOKUP(P32,MoveData[],4,FALSE),"")</f>
        <v>Special</v>
      </c>
      <c r="S32" s="14">
        <v>90</v>
      </c>
      <c r="T32" s="15">
        <v>100</v>
      </c>
      <c r="U32" s="13" t="s">
        <v>810</v>
      </c>
      <c r="V32" t="str">
        <f>IFERROR(VLOOKUP(U32,MoveData[],3,FALSE),"")</f>
        <v>Normal</v>
      </c>
      <c r="W32" t="str">
        <f>IFERROR(VLOOKUP(U32,MoveData[],4,FALSE),"")</f>
        <v>Status</v>
      </c>
      <c r="X32" s="14">
        <v>0</v>
      </c>
      <c r="Y32" s="15">
        <v>100</v>
      </c>
      <c r="Z32" s="13" t="s">
        <v>722</v>
      </c>
      <c r="AA32" t="str">
        <f>IFERROR(VLOOKUP(Z32,MoveData[],3,FALSE),"")</f>
        <v>Normal</v>
      </c>
      <c r="AB32" t="str">
        <f>IFERROR(VLOOKUP(Z32,MoveData[],4,FALSE),"")</f>
        <v>Status</v>
      </c>
      <c r="AC32" s="14">
        <v>0</v>
      </c>
      <c r="AD32" s="15">
        <v>100</v>
      </c>
      <c r="AE32" s="13" t="s">
        <v>114</v>
      </c>
      <c r="AF32" t="str">
        <f>IFERROR(VLOOKUP(AE32,MoveData[],3,FALSE),"")</f>
        <v>Water</v>
      </c>
      <c r="AG32" t="str">
        <f>IFERROR(VLOOKUP(AE32,MoveData[],4,FALSE),"")</f>
        <v>Status</v>
      </c>
      <c r="AH32" s="14">
        <v>0</v>
      </c>
      <c r="AI32" s="15">
        <v>100</v>
      </c>
      <c r="AJ32" s="13" t="s">
        <v>858</v>
      </c>
      <c r="AK32" s="13" t="s">
        <v>831</v>
      </c>
    </row>
    <row r="33" spans="1:37">
      <c r="A33" s="13" t="s">
        <v>801</v>
      </c>
      <c r="B33" s="13" t="s">
        <v>802</v>
      </c>
      <c r="C33" s="13">
        <v>1</v>
      </c>
      <c r="D33" s="13">
        <v>5</v>
      </c>
      <c r="E33" s="13" t="s">
        <v>811</v>
      </c>
      <c r="F33" s="13" t="s">
        <v>53</v>
      </c>
      <c r="G33" s="13"/>
      <c r="H33" s="18">
        <v>80</v>
      </c>
      <c r="I33" s="18">
        <v>95</v>
      </c>
      <c r="J33" s="18">
        <v>82</v>
      </c>
      <c r="K33" s="18">
        <v>60</v>
      </c>
      <c r="L33" s="18">
        <v>82</v>
      </c>
      <c r="M33" s="18">
        <v>75</v>
      </c>
      <c r="N33" s="18">
        <v>52</v>
      </c>
      <c r="O33" s="18" t="s">
        <v>820</v>
      </c>
      <c r="P33" s="13" t="s">
        <v>812</v>
      </c>
      <c r="Q33" t="s">
        <v>53</v>
      </c>
      <c r="R33" t="s">
        <v>31</v>
      </c>
      <c r="S33" s="14">
        <v>140</v>
      </c>
      <c r="T33" s="15">
        <v>100</v>
      </c>
      <c r="U33" s="13" t="s">
        <v>413</v>
      </c>
      <c r="V33" t="s">
        <v>23</v>
      </c>
      <c r="W33" t="s">
        <v>31</v>
      </c>
      <c r="X33" s="14">
        <v>130</v>
      </c>
      <c r="Y33" s="15">
        <v>100</v>
      </c>
      <c r="Z33" s="13" t="s">
        <v>124</v>
      </c>
      <c r="AA33" t="s">
        <v>25</v>
      </c>
      <c r="AB33" t="s">
        <v>31</v>
      </c>
      <c r="AC33" s="14">
        <v>90</v>
      </c>
      <c r="AD33" s="15">
        <v>100</v>
      </c>
      <c r="AE33" s="13" t="s">
        <v>669</v>
      </c>
      <c r="AF33" t="str">
        <f>IFERROR(VLOOKUP(AE33,MoveData[],3,FALSE),"")</f>
        <v>Normal</v>
      </c>
      <c r="AG33" t="str">
        <f>IFERROR(VLOOKUP(AE33,MoveData[],4,FALSE),"")</f>
        <v>Status</v>
      </c>
      <c r="AH33" s="14">
        <v>0</v>
      </c>
      <c r="AI33" s="15">
        <v>100</v>
      </c>
      <c r="AJ33" s="13" t="s">
        <v>859</v>
      </c>
      <c r="AK33" s="13" t="s">
        <v>831</v>
      </c>
    </row>
    <row r="34" spans="1:37">
      <c r="A34" s="13" t="s">
        <v>740</v>
      </c>
      <c r="B34" s="13" t="s">
        <v>741</v>
      </c>
      <c r="C34" s="13">
        <v>1</v>
      </c>
      <c r="D34" s="13">
        <v>1</v>
      </c>
      <c r="E34" s="13" t="s">
        <v>742</v>
      </c>
      <c r="F34" s="13" t="s">
        <v>53</v>
      </c>
      <c r="G34" s="13" t="s">
        <v>44</v>
      </c>
      <c r="H34" s="18">
        <v>65</v>
      </c>
      <c r="I34" s="18">
        <v>90</v>
      </c>
      <c r="J34" s="18">
        <v>120</v>
      </c>
      <c r="K34" s="18">
        <v>85</v>
      </c>
      <c r="L34" s="18">
        <v>70</v>
      </c>
      <c r="M34" s="18">
        <v>60</v>
      </c>
      <c r="N34" s="18">
        <v>36</v>
      </c>
      <c r="O34" s="18" t="s">
        <v>820</v>
      </c>
      <c r="P34" s="13" t="s">
        <v>553</v>
      </c>
      <c r="Q34" t="str">
        <f>IFERROR(VLOOKUP(P34,MoveData[],3,FALSE),"")</f>
        <v>Poison</v>
      </c>
      <c r="R34" t="str">
        <f>IFERROR(VLOOKUP(P34,MoveData[],4,FALSE),"")</f>
        <v>Special</v>
      </c>
      <c r="S34" s="14">
        <v>65</v>
      </c>
      <c r="T34" s="15">
        <v>100</v>
      </c>
      <c r="U34" s="13" t="s">
        <v>276</v>
      </c>
      <c r="V34" t="str">
        <f>IFERROR(VLOOKUP(U34,MoveData[],3,FALSE),"")</f>
        <v>Fairy</v>
      </c>
      <c r="W34" t="str">
        <f>IFERROR(VLOOKUP(U34,MoveData[],4,FALSE),"")</f>
        <v>Special</v>
      </c>
      <c r="X34" s="14">
        <v>40</v>
      </c>
      <c r="Y34" s="15">
        <v>100</v>
      </c>
      <c r="Z34" s="13" t="s">
        <v>603</v>
      </c>
      <c r="AA34" t="str">
        <f>IFERROR(VLOOKUP(Z34,MoveData[],3,FALSE),"")</f>
        <v>Normal</v>
      </c>
      <c r="AB34" t="str">
        <f>IFERROR(VLOOKUP(Z34,MoveData[],4,FALSE),"")</f>
        <v>Physical</v>
      </c>
      <c r="AC34" s="14">
        <v>40</v>
      </c>
      <c r="AD34" s="15">
        <v>100</v>
      </c>
      <c r="AE34" s="13"/>
      <c r="AF34" t="str">
        <f>IFERROR(VLOOKUP(AE34,MoveData[],3,FALSE),"")</f>
        <v/>
      </c>
      <c r="AG34" t="str">
        <f>IFERROR(VLOOKUP(AE34,MoveData[],4,FALSE),"")</f>
        <v/>
      </c>
      <c r="AH34" s="14">
        <v>0</v>
      </c>
      <c r="AI34" s="15">
        <v>100</v>
      </c>
      <c r="AJ34" s="13" t="s">
        <v>860</v>
      </c>
      <c r="AK34" s="13" t="s">
        <v>861</v>
      </c>
    </row>
    <row r="35" spans="1:37">
      <c r="A35" s="13" t="s">
        <v>740</v>
      </c>
      <c r="B35" s="13" t="s">
        <v>741</v>
      </c>
      <c r="C35" s="13">
        <v>1</v>
      </c>
      <c r="D35" s="13">
        <v>2</v>
      </c>
      <c r="E35" s="13" t="s">
        <v>746</v>
      </c>
      <c r="F35" s="13" t="s">
        <v>24</v>
      </c>
      <c r="G35" s="13" t="s">
        <v>44</v>
      </c>
      <c r="H35" s="18">
        <v>50</v>
      </c>
      <c r="I35" s="18">
        <v>85</v>
      </c>
      <c r="J35" s="18">
        <v>85</v>
      </c>
      <c r="K35" s="18">
        <v>55</v>
      </c>
      <c r="L35" s="18">
        <v>55</v>
      </c>
      <c r="M35" s="18">
        <v>50</v>
      </c>
      <c r="N35" s="18">
        <v>36</v>
      </c>
      <c r="O35" s="18" t="s">
        <v>820</v>
      </c>
      <c r="P35" s="13" t="s">
        <v>250</v>
      </c>
      <c r="Q35" t="str">
        <f>IFERROR(VLOOKUP(P35,MoveData[],3,FALSE),"")</f>
        <v>Fairy</v>
      </c>
      <c r="R35" t="str">
        <f>IFERROR(VLOOKUP(P35,MoveData[],4,FALSE),"")</f>
        <v>Special</v>
      </c>
      <c r="S35" s="14">
        <v>50</v>
      </c>
      <c r="T35" s="15">
        <v>100</v>
      </c>
      <c r="U35" s="13" t="s">
        <v>37</v>
      </c>
      <c r="V35" t="str">
        <f>IFERROR(VLOOKUP(U35,MoveData[],3,FALSE),"")</f>
        <v>Dark</v>
      </c>
      <c r="W35" t="str">
        <f>IFERROR(VLOOKUP(U35,MoveData[],4,FALSE),"")</f>
        <v>Physical</v>
      </c>
      <c r="X35" s="14">
        <v>80</v>
      </c>
      <c r="Y35" s="15">
        <v>100</v>
      </c>
      <c r="Z35" s="13" t="s">
        <v>151</v>
      </c>
      <c r="AA35" t="str">
        <f>IFERROR(VLOOKUP(Z35,MoveData[],3,FALSE),"")</f>
        <v>Ghost</v>
      </c>
      <c r="AB35" t="str">
        <f>IFERROR(VLOOKUP(Z35,MoveData[],4,FALSE),"")</f>
        <v>Physical</v>
      </c>
      <c r="AC35" s="14">
        <v>30</v>
      </c>
      <c r="AD35" s="15">
        <v>100</v>
      </c>
      <c r="AE35" s="13" t="s">
        <v>748</v>
      </c>
      <c r="AF35" t="str">
        <f>IFERROR(VLOOKUP(AE35,MoveData[],3,FALSE),"")</f>
        <v>Steel</v>
      </c>
      <c r="AG35" t="str">
        <f>IFERROR(VLOOKUP(AE35,MoveData[],4,FALSE),"")</f>
        <v>Status</v>
      </c>
      <c r="AH35" s="14">
        <v>0</v>
      </c>
      <c r="AI35" s="15">
        <v>100</v>
      </c>
      <c r="AJ35" s="13" t="s">
        <v>830</v>
      </c>
      <c r="AK35" s="13" t="s">
        <v>831</v>
      </c>
    </row>
    <row r="36" spans="1:37">
      <c r="A36" s="13" t="s">
        <v>740</v>
      </c>
      <c r="B36" s="13" t="s">
        <v>741</v>
      </c>
      <c r="C36" s="13">
        <v>1</v>
      </c>
      <c r="D36" s="13">
        <v>3</v>
      </c>
      <c r="E36" s="13" t="s">
        <v>747</v>
      </c>
      <c r="F36" s="13" t="s">
        <v>44</v>
      </c>
      <c r="G36" s="13" t="s">
        <v>35</v>
      </c>
      <c r="H36" s="18">
        <v>85</v>
      </c>
      <c r="I36" s="18">
        <v>50</v>
      </c>
      <c r="J36" s="18">
        <v>95</v>
      </c>
      <c r="K36" s="18">
        <v>120</v>
      </c>
      <c r="L36" s="18">
        <v>115</v>
      </c>
      <c r="M36" s="18">
        <v>80</v>
      </c>
      <c r="N36" s="18">
        <v>37</v>
      </c>
      <c r="O36" s="18" t="s">
        <v>820</v>
      </c>
      <c r="P36" s="13" t="s">
        <v>120</v>
      </c>
      <c r="Q36" t="str">
        <f>IFERROR(VLOOKUP(P36,MoveData[],3,FALSE),"")</f>
        <v>Flying</v>
      </c>
      <c r="R36" t="str">
        <f>IFERROR(VLOOKUP(P36,MoveData[],4,FALSE),"")</f>
        <v>Special</v>
      </c>
      <c r="S36" s="14">
        <v>75</v>
      </c>
      <c r="T36" s="15">
        <v>95</v>
      </c>
      <c r="U36" s="13" t="s">
        <v>250</v>
      </c>
      <c r="V36" t="str">
        <f>IFERROR(VLOOKUP(U36,MoveData[],3,FALSE),"")</f>
        <v>Fairy</v>
      </c>
      <c r="W36" t="str">
        <f>IFERROR(VLOOKUP(U36,MoveData[],4,FALSE),"")</f>
        <v>Special</v>
      </c>
      <c r="X36" s="14">
        <v>50</v>
      </c>
      <c r="Y36" s="15">
        <v>100</v>
      </c>
      <c r="Z36" s="13" t="s">
        <v>146</v>
      </c>
      <c r="AA36" t="str">
        <f>IFERROR(VLOOKUP(Z36,MoveData[],3,FALSE),"")</f>
        <v>Rock</v>
      </c>
      <c r="AB36" t="str">
        <f>IFERROR(VLOOKUP(Z36,MoveData[],4,FALSE),"")</f>
        <v>Special</v>
      </c>
      <c r="AC36" s="14">
        <v>60</v>
      </c>
      <c r="AD36" s="15">
        <v>100</v>
      </c>
      <c r="AE36" s="13"/>
      <c r="AF36" t="str">
        <f>IFERROR(VLOOKUP(AE36,MoveData[],3,FALSE),"")</f>
        <v/>
      </c>
      <c r="AG36" t="str">
        <f>IFERROR(VLOOKUP(AE36,MoveData[],4,FALSE),"")</f>
        <v/>
      </c>
      <c r="AH36" s="14">
        <v>0</v>
      </c>
      <c r="AI36" s="15">
        <v>100</v>
      </c>
      <c r="AJ36" s="13" t="s">
        <v>862</v>
      </c>
      <c r="AK36" s="13" t="s">
        <v>831</v>
      </c>
    </row>
    <row r="37" spans="1:37">
      <c r="A37" s="13" t="s">
        <v>740</v>
      </c>
      <c r="B37" s="13" t="s">
        <v>741</v>
      </c>
      <c r="C37" s="13">
        <v>1</v>
      </c>
      <c r="D37" s="13">
        <v>4</v>
      </c>
      <c r="E37" s="13" t="s">
        <v>815</v>
      </c>
      <c r="F37" s="13" t="s">
        <v>44</v>
      </c>
      <c r="G37" s="13"/>
      <c r="H37" s="18">
        <v>65</v>
      </c>
      <c r="I37" s="18">
        <v>60</v>
      </c>
      <c r="J37" s="18">
        <v>75</v>
      </c>
      <c r="K37" s="18">
        <v>110</v>
      </c>
      <c r="L37" s="18">
        <v>121</v>
      </c>
      <c r="M37" s="18">
        <v>64</v>
      </c>
      <c r="N37" s="18">
        <v>38</v>
      </c>
      <c r="O37" s="18" t="s">
        <v>820</v>
      </c>
      <c r="P37" s="13" t="s">
        <v>749</v>
      </c>
      <c r="Q37" t="s">
        <v>44</v>
      </c>
      <c r="R37" t="s">
        <v>42</v>
      </c>
      <c r="S37" s="14">
        <v>100</v>
      </c>
      <c r="T37" s="15">
        <v>100</v>
      </c>
      <c r="U37" s="13" t="s">
        <v>669</v>
      </c>
      <c r="V37" t="str">
        <f>IFERROR(VLOOKUP(U37,MoveData[],3,FALSE),"")</f>
        <v>Normal</v>
      </c>
      <c r="W37" t="str">
        <f>IFERROR(VLOOKUP(U37,MoveData[],4,FALSE),"")</f>
        <v>Status</v>
      </c>
      <c r="X37" s="14">
        <v>0</v>
      </c>
      <c r="Y37" s="15">
        <v>100</v>
      </c>
      <c r="Z37" s="13" t="s">
        <v>669</v>
      </c>
      <c r="AA37" t="str">
        <f>IFERROR(VLOOKUP(Z37,MoveData[],3,FALSE),"")</f>
        <v>Normal</v>
      </c>
      <c r="AB37" t="str">
        <f>IFERROR(VLOOKUP(Z37,MoveData[],4,FALSE),"")</f>
        <v>Status</v>
      </c>
      <c r="AC37" s="14">
        <v>0</v>
      </c>
      <c r="AD37" s="15">
        <v>100</v>
      </c>
      <c r="AE37" s="13"/>
      <c r="AF37" t="str">
        <f>IFERROR(VLOOKUP(AE37,MoveData[],3,FALSE),"")</f>
        <v/>
      </c>
      <c r="AG37" t="str">
        <f>IFERROR(VLOOKUP(AE37,MoveData[],4,FALSE),"")</f>
        <v/>
      </c>
      <c r="AH37" s="14">
        <v>0</v>
      </c>
      <c r="AI37" s="15">
        <v>100</v>
      </c>
      <c r="AJ37" s="13" t="s">
        <v>863</v>
      </c>
      <c r="AK37" s="13" t="s">
        <v>831</v>
      </c>
    </row>
    <row r="38" spans="1:37">
      <c r="A38" s="13" t="s">
        <v>759</v>
      </c>
      <c r="B38" s="13" t="s">
        <v>744</v>
      </c>
      <c r="C38" s="13">
        <v>1</v>
      </c>
      <c r="D38" s="13">
        <v>1</v>
      </c>
      <c r="E38" s="13" t="s">
        <v>734</v>
      </c>
      <c r="F38" s="13" t="s">
        <v>38</v>
      </c>
      <c r="G38" s="13" t="s">
        <v>20</v>
      </c>
      <c r="H38" s="18">
        <v>65</v>
      </c>
      <c r="I38" s="18">
        <v>90</v>
      </c>
      <c r="J38" s="18">
        <v>115</v>
      </c>
      <c r="K38" s="18">
        <v>45</v>
      </c>
      <c r="L38" s="18">
        <v>115</v>
      </c>
      <c r="M38" s="18">
        <v>58</v>
      </c>
      <c r="N38" s="18">
        <v>44</v>
      </c>
      <c r="O38" s="18" t="s">
        <v>820</v>
      </c>
      <c r="P38" s="13" t="s">
        <v>277</v>
      </c>
      <c r="Q38" t="str">
        <f>IFERROR(VLOOKUP(P38,MoveData[],3,FALSE),"")</f>
        <v>Normal</v>
      </c>
      <c r="R38" t="str">
        <f>IFERROR(VLOOKUP(P38,MoveData[],4,FALSE),"")</f>
        <v>Physical</v>
      </c>
      <c r="S38" s="14">
        <v>40</v>
      </c>
      <c r="T38" s="15">
        <v>100</v>
      </c>
      <c r="U38" s="13" t="s">
        <v>187</v>
      </c>
      <c r="V38" t="str">
        <f>IFERROR(VLOOKUP(U38,MoveData[],3,FALSE),"")</f>
        <v>Fighting</v>
      </c>
      <c r="W38" t="str">
        <f>IFERROR(VLOOKUP(U38,MoveData[],4,FALSE),"")</f>
        <v>Physical</v>
      </c>
      <c r="X38" s="14">
        <v>75</v>
      </c>
      <c r="Y38" s="15">
        <v>100</v>
      </c>
      <c r="Z38" s="13" t="s">
        <v>455</v>
      </c>
      <c r="AA38" t="str">
        <f>IFERROR(VLOOKUP(Z38,MoveData[],3,FALSE),"")</f>
        <v>Dark</v>
      </c>
      <c r="AB38" t="str">
        <f>IFERROR(VLOOKUP(Z38,MoveData[],4,FALSE),"")</f>
        <v>Physical</v>
      </c>
      <c r="AC38" s="14">
        <v>50</v>
      </c>
      <c r="AD38" s="15">
        <v>100</v>
      </c>
      <c r="AE38" s="13" t="s">
        <v>760</v>
      </c>
      <c r="AF38" t="str">
        <f>IFERROR(VLOOKUP(AE38,MoveData[],3,FALSE),"")</f>
        <v>Ground</v>
      </c>
      <c r="AG38" t="str">
        <f>IFERROR(VLOOKUP(AE38,MoveData[],4,FALSE),"")</f>
        <v>Status</v>
      </c>
      <c r="AH38" s="14">
        <v>0</v>
      </c>
      <c r="AI38" s="15">
        <v>100</v>
      </c>
      <c r="AJ38" s="13" t="s">
        <v>830</v>
      </c>
      <c r="AK38" s="13" t="s">
        <v>831</v>
      </c>
    </row>
    <row r="39" spans="1:37">
      <c r="A39" s="13" t="s">
        <v>759</v>
      </c>
      <c r="B39" s="13" t="s">
        <v>744</v>
      </c>
      <c r="C39" s="13">
        <v>1</v>
      </c>
      <c r="D39" s="13">
        <v>2</v>
      </c>
      <c r="E39" s="13" t="s">
        <v>761</v>
      </c>
      <c r="F39" s="13" t="s">
        <v>38</v>
      </c>
      <c r="G39" s="13" t="s">
        <v>22</v>
      </c>
      <c r="H39" s="18">
        <v>86</v>
      </c>
      <c r="I39" s="18">
        <v>92</v>
      </c>
      <c r="J39" s="18">
        <v>88</v>
      </c>
      <c r="K39" s="18">
        <v>68</v>
      </c>
      <c r="L39" s="18">
        <v>75</v>
      </c>
      <c r="M39" s="18">
        <v>73</v>
      </c>
      <c r="N39" s="18">
        <v>45</v>
      </c>
      <c r="O39" s="18" t="s">
        <v>820</v>
      </c>
      <c r="P39" s="13" t="s">
        <v>444</v>
      </c>
      <c r="Q39" t="str">
        <f>IFERROR(VLOOKUP(P39,MoveData[],3,FALSE),"")</f>
        <v>Dark</v>
      </c>
      <c r="R39" t="str">
        <f>IFERROR(VLOOKUP(P39,MoveData[],4,FALSE),"")</f>
        <v>Physical</v>
      </c>
      <c r="S39" s="14">
        <v>70</v>
      </c>
      <c r="T39" s="15">
        <v>100</v>
      </c>
      <c r="U39" s="13" t="s">
        <v>309</v>
      </c>
      <c r="V39" t="str">
        <f>IFERROR(VLOOKUP(U39,MoveData[],3,FALSE),"")</f>
        <v>Dark</v>
      </c>
      <c r="W39" t="str">
        <f>IFERROR(VLOOKUP(U39,MoveData[],4,FALSE),"")</f>
        <v>Physical</v>
      </c>
      <c r="X39" s="14">
        <v>95</v>
      </c>
      <c r="Y39" s="15">
        <v>100</v>
      </c>
      <c r="Z39" s="13" t="s">
        <v>484</v>
      </c>
      <c r="AA39" t="str">
        <f>IFERROR(VLOOKUP(Z39,MoveData[],3,FALSE),"")</f>
        <v>Psychic</v>
      </c>
      <c r="AB39" t="str">
        <f>IFERROR(VLOOKUP(Z39,MoveData[],4,FALSE),"")</f>
        <v>Physical</v>
      </c>
      <c r="AC39" s="14">
        <v>70</v>
      </c>
      <c r="AD39" s="15">
        <v>100</v>
      </c>
      <c r="AE39" s="13" t="s">
        <v>455</v>
      </c>
      <c r="AF39" t="str">
        <f>IFERROR(VLOOKUP(AE39,MoveData[],3,FALSE),"")</f>
        <v>Dark</v>
      </c>
      <c r="AG39" t="str">
        <f>IFERROR(VLOOKUP(AE39,MoveData[],4,FALSE),"")</f>
        <v>Physical</v>
      </c>
      <c r="AH39" s="14">
        <v>50</v>
      </c>
      <c r="AI39" s="15">
        <v>100</v>
      </c>
      <c r="AJ39" s="13" t="s">
        <v>864</v>
      </c>
      <c r="AK39" s="13" t="s">
        <v>831</v>
      </c>
    </row>
    <row r="40" spans="1:37">
      <c r="A40" s="13" t="s">
        <v>759</v>
      </c>
      <c r="B40" s="13" t="s">
        <v>744</v>
      </c>
      <c r="C40" s="13">
        <v>1</v>
      </c>
      <c r="D40" s="13">
        <v>3</v>
      </c>
      <c r="E40" s="13" t="s">
        <v>762</v>
      </c>
      <c r="F40" s="13" t="s">
        <v>38</v>
      </c>
      <c r="G40" s="13" t="s">
        <v>32</v>
      </c>
      <c r="H40" s="18">
        <v>93</v>
      </c>
      <c r="I40" s="18">
        <v>90</v>
      </c>
      <c r="J40" s="18">
        <v>101</v>
      </c>
      <c r="K40" s="18">
        <v>60</v>
      </c>
      <c r="L40" s="18">
        <v>81</v>
      </c>
      <c r="M40" s="18">
        <v>95</v>
      </c>
      <c r="N40" s="18">
        <v>46</v>
      </c>
      <c r="O40" s="18" t="s">
        <v>820</v>
      </c>
      <c r="P40" s="13" t="s">
        <v>121</v>
      </c>
      <c r="Q40" t="str">
        <f>IFERROR(VLOOKUP(P40,MoveData[],3,FALSE),"")</f>
        <v>Dark</v>
      </c>
      <c r="R40" t="str">
        <f>IFERROR(VLOOKUP(P40,MoveData[],4,FALSE),"")</f>
        <v>Physical</v>
      </c>
      <c r="S40" s="14">
        <v>80</v>
      </c>
      <c r="T40" s="15">
        <v>100</v>
      </c>
      <c r="U40" s="13" t="s">
        <v>216</v>
      </c>
      <c r="V40" t="str">
        <f>IFERROR(VLOOKUP(U40,MoveData[],3,FALSE),"")</f>
        <v>Fighting</v>
      </c>
      <c r="W40" t="str">
        <f>IFERROR(VLOOKUP(U40,MoveData[],4,FALSE),"")</f>
        <v>Physical</v>
      </c>
      <c r="X40" s="14">
        <v>0</v>
      </c>
      <c r="Y40" s="15">
        <v>100</v>
      </c>
      <c r="Z40" s="13" t="s">
        <v>103</v>
      </c>
      <c r="AA40" t="str">
        <f>IFERROR(VLOOKUP(Z40,MoveData[],3,FALSE),"")</f>
        <v>Ghost</v>
      </c>
      <c r="AB40" t="str">
        <f>IFERROR(VLOOKUP(Z40,MoveData[],4,FALSE),"")</f>
        <v>Physical</v>
      </c>
      <c r="AC40" s="14">
        <v>70</v>
      </c>
      <c r="AD40" s="15">
        <v>100</v>
      </c>
      <c r="AE40" s="13" t="s">
        <v>763</v>
      </c>
      <c r="AF40" t="str">
        <f>IFERROR(VLOOKUP(AE40,MoveData[],3,FALSE),"")</f>
        <v>Dark</v>
      </c>
      <c r="AG40" t="str">
        <f>IFERROR(VLOOKUP(AE40,MoveData[],4,FALSE),"")</f>
        <v>Status</v>
      </c>
      <c r="AH40" s="14">
        <v>0</v>
      </c>
      <c r="AI40" s="15">
        <v>100</v>
      </c>
      <c r="AJ40" s="13" t="s">
        <v>865</v>
      </c>
      <c r="AK40" s="13" t="s">
        <v>831</v>
      </c>
    </row>
    <row r="41" spans="1:37">
      <c r="A41" s="13" t="s">
        <v>759</v>
      </c>
      <c r="B41" s="13" t="s">
        <v>744</v>
      </c>
      <c r="C41" s="13">
        <v>1</v>
      </c>
      <c r="D41" s="13">
        <v>4</v>
      </c>
      <c r="E41" s="13" t="s">
        <v>764</v>
      </c>
      <c r="F41" s="13" t="s">
        <v>53</v>
      </c>
      <c r="G41" s="13" t="s">
        <v>38</v>
      </c>
      <c r="H41" s="18">
        <v>103</v>
      </c>
      <c r="I41" s="18">
        <v>93</v>
      </c>
      <c r="J41" s="18">
        <v>67</v>
      </c>
      <c r="K41" s="18">
        <v>71</v>
      </c>
      <c r="L41" s="18">
        <v>61</v>
      </c>
      <c r="M41" s="18">
        <v>84</v>
      </c>
      <c r="N41" s="18">
        <v>45</v>
      </c>
      <c r="O41" s="18" t="s">
        <v>820</v>
      </c>
      <c r="P41" s="13" t="s">
        <v>595</v>
      </c>
      <c r="Q41" t="str">
        <f>IFERROR(VLOOKUP(P41,MoveData[],3,FALSE),"")</f>
        <v>Dark</v>
      </c>
      <c r="R41" t="str">
        <f>IFERROR(VLOOKUP(P41,MoveData[],4,FALSE),"")</f>
        <v>Physical</v>
      </c>
      <c r="S41" s="14">
        <v>70</v>
      </c>
      <c r="T41" s="15">
        <v>100</v>
      </c>
      <c r="U41" s="13" t="s">
        <v>560</v>
      </c>
      <c r="V41" t="str">
        <f>IFERROR(VLOOKUP(U41,MoveData[],3,FALSE),"")</f>
        <v>Dark</v>
      </c>
      <c r="W41" t="str">
        <f>IFERROR(VLOOKUP(U41,MoveData[],4,FALSE),"")</f>
        <v>Special</v>
      </c>
      <c r="X41" s="14">
        <v>55</v>
      </c>
      <c r="Y41" s="15">
        <v>95</v>
      </c>
      <c r="Z41" s="13" t="s">
        <v>736</v>
      </c>
      <c r="AA41" t="str">
        <f>IFERROR(VLOOKUP(Z41,MoveData[],3,FALSE),"")</f>
        <v>Poison</v>
      </c>
      <c r="AB41" t="str">
        <f>IFERROR(VLOOKUP(Z41,MoveData[],4,FALSE),"")</f>
        <v>Status</v>
      </c>
      <c r="AC41" s="14">
        <v>0</v>
      </c>
      <c r="AD41" s="15">
        <v>90</v>
      </c>
      <c r="AE41" s="13" t="s">
        <v>682</v>
      </c>
      <c r="AF41" t="str">
        <f>IFERROR(VLOOKUP(AE41,MoveData[],3,FALSE),"")</f>
        <v>Normal</v>
      </c>
      <c r="AG41" t="str">
        <f>IFERROR(VLOOKUP(AE41,MoveData[],4,FALSE),"")</f>
        <v>Status</v>
      </c>
      <c r="AH41" s="14">
        <v>0</v>
      </c>
      <c r="AI41" s="15">
        <v>85</v>
      </c>
      <c r="AJ41" s="13" t="s">
        <v>866</v>
      </c>
      <c r="AK41" s="13" t="s">
        <v>831</v>
      </c>
    </row>
    <row r="42" spans="1:37">
      <c r="A42" s="13" t="s">
        <v>765</v>
      </c>
      <c r="B42" s="13" t="s">
        <v>745</v>
      </c>
      <c r="C42" s="13">
        <v>1</v>
      </c>
      <c r="D42" s="13">
        <v>1</v>
      </c>
      <c r="E42" s="13" t="s">
        <v>766</v>
      </c>
      <c r="F42" s="13" t="s">
        <v>25</v>
      </c>
      <c r="G42" s="13"/>
      <c r="H42" s="18">
        <v>85</v>
      </c>
      <c r="I42" s="18">
        <v>135</v>
      </c>
      <c r="J42" s="18">
        <v>130</v>
      </c>
      <c r="K42" s="18">
        <v>60</v>
      </c>
      <c r="L42" s="18">
        <v>80</v>
      </c>
      <c r="M42" s="18">
        <v>25</v>
      </c>
      <c r="N42" s="18">
        <v>46</v>
      </c>
      <c r="O42" s="18" t="s">
        <v>820</v>
      </c>
      <c r="P42" s="13" t="s">
        <v>518</v>
      </c>
      <c r="Q42" t="str">
        <f>IFERROR(VLOOKUP(P42,MoveData[],3,FALSE),"")</f>
        <v>Ground</v>
      </c>
      <c r="R42" t="str">
        <f>IFERROR(VLOOKUP(P42,MoveData[],4,FALSE),"")</f>
        <v>Physical</v>
      </c>
      <c r="S42" s="14">
        <v>35</v>
      </c>
      <c r="T42" s="15">
        <v>85</v>
      </c>
      <c r="U42" s="13" t="s">
        <v>174</v>
      </c>
      <c r="V42" t="str">
        <f>IFERROR(VLOOKUP(U42,MoveData[],3,FALSE),"")</f>
        <v>Fighting</v>
      </c>
      <c r="W42" t="str">
        <f>IFERROR(VLOOKUP(U42,MoveData[],4,FALSE),"")</f>
        <v>Physical</v>
      </c>
      <c r="X42" s="14">
        <v>80</v>
      </c>
      <c r="Y42" s="15">
        <v>100</v>
      </c>
      <c r="Z42" s="13" t="s">
        <v>507</v>
      </c>
      <c r="AA42" t="str">
        <f>IFERROR(VLOOKUP(Z42,MoveData[],3,FALSE),"")</f>
        <v>Rock</v>
      </c>
      <c r="AB42" t="str">
        <f>IFERROR(VLOOKUP(Z42,MoveData[],4,FALSE),"")</f>
        <v>Physical</v>
      </c>
      <c r="AC42" s="14">
        <v>25</v>
      </c>
      <c r="AD42" s="15">
        <v>90</v>
      </c>
      <c r="AE42" s="13" t="s">
        <v>755</v>
      </c>
      <c r="AF42" t="str">
        <f>IFERROR(VLOOKUP(AE42,MoveData[],3,FALSE),"")</f>
        <v>Rock</v>
      </c>
      <c r="AG42" t="str">
        <f>IFERROR(VLOOKUP(AE42,MoveData[],4,FALSE),"")</f>
        <v>Status</v>
      </c>
      <c r="AH42" s="14">
        <v>0</v>
      </c>
      <c r="AI42" s="15">
        <v>100</v>
      </c>
      <c r="AJ42" s="13" t="s">
        <v>867</v>
      </c>
      <c r="AK42" s="13" t="s">
        <v>831</v>
      </c>
    </row>
    <row r="43" spans="1:37">
      <c r="A43" s="13" t="s">
        <v>765</v>
      </c>
      <c r="B43" s="13" t="s">
        <v>745</v>
      </c>
      <c r="C43" s="13">
        <v>1</v>
      </c>
      <c r="D43" s="13">
        <v>2</v>
      </c>
      <c r="E43" s="13" t="s">
        <v>767</v>
      </c>
      <c r="F43" s="13" t="s">
        <v>23</v>
      </c>
      <c r="G43" s="13" t="s">
        <v>47</v>
      </c>
      <c r="H43" s="18">
        <v>80</v>
      </c>
      <c r="I43" s="18">
        <v>100</v>
      </c>
      <c r="J43" s="18">
        <v>80</v>
      </c>
      <c r="K43" s="18">
        <v>80</v>
      </c>
      <c r="L43" s="18">
        <v>80</v>
      </c>
      <c r="M43" s="18">
        <v>100</v>
      </c>
      <c r="N43" s="18">
        <v>47</v>
      </c>
      <c r="O43" s="18" t="s">
        <v>820</v>
      </c>
      <c r="P43" s="13" t="s">
        <v>615</v>
      </c>
      <c r="Q43" t="str">
        <f>IFERROR(VLOOKUP(P43,MoveData[],3,FALSE),"")</f>
        <v>Electric</v>
      </c>
      <c r="R43" t="str">
        <f>IFERROR(VLOOKUP(P43,MoveData[],4,FALSE),"")</f>
        <v>Physical</v>
      </c>
      <c r="S43" s="14">
        <v>75</v>
      </c>
      <c r="T43" s="15">
        <v>100</v>
      </c>
      <c r="U43" s="13" t="s">
        <v>186</v>
      </c>
      <c r="V43" t="str">
        <f>IFERROR(VLOOKUP(U43,MoveData[],3,FALSE),"")</f>
        <v>Dragon</v>
      </c>
      <c r="W43" t="str">
        <f>IFERROR(VLOOKUP(U43,MoveData[],4,FALSE),"")</f>
        <v>Physical</v>
      </c>
      <c r="X43" s="14">
        <v>60</v>
      </c>
      <c r="Y43" s="15">
        <v>100</v>
      </c>
      <c r="Z43" s="13" t="s">
        <v>37</v>
      </c>
      <c r="AA43" t="str">
        <f>IFERROR(VLOOKUP(Z43,MoveData[],3,FALSE),"")</f>
        <v>Dark</v>
      </c>
      <c r="AB43" t="str">
        <f>IFERROR(VLOOKUP(Z43,MoveData[],4,FALSE),"")</f>
        <v>Physical</v>
      </c>
      <c r="AC43" s="14">
        <v>80</v>
      </c>
      <c r="AD43" s="15">
        <v>100</v>
      </c>
      <c r="AE43" s="13" t="s">
        <v>582</v>
      </c>
      <c r="AF43" t="str">
        <f>IFERROR(VLOOKUP(AE43,MoveData[],3,FALSE),"")</f>
        <v>Steel</v>
      </c>
      <c r="AG43" t="str">
        <f>IFERROR(VLOOKUP(AE43,MoveData[],4,FALSE),"")</f>
        <v>Physical</v>
      </c>
      <c r="AH43" s="14">
        <v>70</v>
      </c>
      <c r="AI43" s="15">
        <v>90</v>
      </c>
      <c r="AJ43" s="13" t="s">
        <v>860</v>
      </c>
      <c r="AK43" s="13" t="s">
        <v>839</v>
      </c>
    </row>
    <row r="44" spans="1:37">
      <c r="A44" s="13" t="s">
        <v>765</v>
      </c>
      <c r="B44" s="13" t="s">
        <v>745</v>
      </c>
      <c r="C44" s="13">
        <v>1</v>
      </c>
      <c r="D44" s="13">
        <v>3</v>
      </c>
      <c r="E44" s="13" t="s">
        <v>768</v>
      </c>
      <c r="F44" s="13" t="s">
        <v>23</v>
      </c>
      <c r="G44" s="13"/>
      <c r="H44" s="18">
        <v>72</v>
      </c>
      <c r="I44" s="18">
        <v>107</v>
      </c>
      <c r="J44" s="18">
        <v>125</v>
      </c>
      <c r="K44" s="18">
        <v>65</v>
      </c>
      <c r="L44" s="18">
        <v>70</v>
      </c>
      <c r="M44" s="18">
        <v>71</v>
      </c>
      <c r="N44" s="18">
        <v>46</v>
      </c>
      <c r="O44" s="18" t="s">
        <v>820</v>
      </c>
      <c r="P44" s="13" t="s">
        <v>287</v>
      </c>
      <c r="Q44" t="str">
        <f>IFERROR(VLOOKUP(P44,MoveData[],3,FALSE),"")</f>
        <v>Fire</v>
      </c>
      <c r="R44" t="str">
        <f>IFERROR(VLOOKUP(P44,MoveData[],4,FALSE),"")</f>
        <v>Physical</v>
      </c>
      <c r="S44" s="14">
        <v>65</v>
      </c>
      <c r="T44" s="15">
        <v>95</v>
      </c>
      <c r="U44" s="13" t="s">
        <v>258</v>
      </c>
      <c r="V44" t="str">
        <f>IFERROR(VLOOKUP(U44,MoveData[],3,FALSE),"")</f>
        <v>Ground</v>
      </c>
      <c r="W44" t="str">
        <f>IFERROR(VLOOKUP(U44,MoveData[],4,FALSE),"")</f>
        <v>Special</v>
      </c>
      <c r="X44" s="14">
        <v>90</v>
      </c>
      <c r="Y44" s="15">
        <v>100</v>
      </c>
      <c r="Z44" s="13" t="s">
        <v>769</v>
      </c>
      <c r="AA44" t="str">
        <f>IFERROR(VLOOKUP(Z44,MoveData[],3,FALSE),"")</f>
        <v>Normal</v>
      </c>
      <c r="AB44" t="str">
        <f>IFERROR(VLOOKUP(Z44,MoveData[],4,FALSE),"")</f>
        <v>Status</v>
      </c>
      <c r="AC44" s="14">
        <v>0</v>
      </c>
      <c r="AD44" s="15">
        <v>100</v>
      </c>
      <c r="AE44" s="13" t="s">
        <v>685</v>
      </c>
      <c r="AF44" t="str">
        <f>IFERROR(VLOOKUP(AE44,MoveData[],3,FALSE),"")</f>
        <v>Normal</v>
      </c>
      <c r="AG44" t="str">
        <f>IFERROR(VLOOKUP(AE44,MoveData[],4,FALSE),"")</f>
        <v>Status</v>
      </c>
      <c r="AH44" s="14">
        <v>0</v>
      </c>
      <c r="AI44" s="15">
        <v>100</v>
      </c>
      <c r="AJ44" s="13" t="s">
        <v>868</v>
      </c>
      <c r="AK44" s="13" t="s">
        <v>831</v>
      </c>
    </row>
    <row r="45" spans="1:37">
      <c r="A45" s="13" t="s">
        <v>765</v>
      </c>
      <c r="B45" s="13" t="s">
        <v>745</v>
      </c>
      <c r="C45" s="13">
        <v>1</v>
      </c>
      <c r="D45" s="13">
        <v>4</v>
      </c>
      <c r="E45" s="13" t="s">
        <v>813</v>
      </c>
      <c r="F45" s="13" t="s">
        <v>24</v>
      </c>
      <c r="G45" s="13" t="s">
        <v>47</v>
      </c>
      <c r="H45" s="18">
        <v>70</v>
      </c>
      <c r="I45" s="18">
        <v>95</v>
      </c>
      <c r="J45" s="18">
        <v>115</v>
      </c>
      <c r="K45" s="18">
        <v>120</v>
      </c>
      <c r="L45" s="18">
        <v>50</v>
      </c>
      <c r="M45" s="18">
        <v>85</v>
      </c>
      <c r="N45" s="18">
        <v>48</v>
      </c>
      <c r="O45" s="18" t="s">
        <v>820</v>
      </c>
      <c r="P45" s="13" t="s">
        <v>770</v>
      </c>
      <c r="Q45" t="s">
        <v>47</v>
      </c>
      <c r="R45" t="s">
        <v>31</v>
      </c>
      <c r="S45" s="14">
        <v>110</v>
      </c>
      <c r="T45" s="15">
        <v>100</v>
      </c>
      <c r="U45" s="13" t="s">
        <v>408</v>
      </c>
      <c r="V45" t="s">
        <v>20</v>
      </c>
      <c r="W45" t="s">
        <v>31</v>
      </c>
      <c r="X45" s="14">
        <v>130</v>
      </c>
      <c r="Y45" s="15">
        <v>100</v>
      </c>
      <c r="Z45" s="13" t="s">
        <v>124</v>
      </c>
      <c r="AA45" t="s">
        <v>25</v>
      </c>
      <c r="AB45" t="s">
        <v>31</v>
      </c>
      <c r="AC45" s="14">
        <v>130</v>
      </c>
      <c r="AD45" s="15">
        <v>100</v>
      </c>
      <c r="AE45" s="13" t="s">
        <v>415</v>
      </c>
      <c r="AF45" t="s">
        <v>24</v>
      </c>
      <c r="AG45" t="s">
        <v>31</v>
      </c>
      <c r="AH45" s="14">
        <v>130</v>
      </c>
      <c r="AI45" s="15">
        <v>100</v>
      </c>
      <c r="AJ45" s="13" t="s">
        <v>869</v>
      </c>
      <c r="AK45" s="13" t="s">
        <v>831</v>
      </c>
    </row>
    <row r="46" spans="1:37">
      <c r="A46" s="13" t="s">
        <v>788</v>
      </c>
      <c r="B46" s="13" t="s">
        <v>789</v>
      </c>
      <c r="C46" s="13">
        <v>1</v>
      </c>
      <c r="D46" s="13">
        <v>1</v>
      </c>
      <c r="E46" s="13" t="s">
        <v>790</v>
      </c>
      <c r="F46" s="13" t="s">
        <v>21</v>
      </c>
      <c r="G46" s="13" t="s">
        <v>24</v>
      </c>
      <c r="H46" s="18">
        <v>70</v>
      </c>
      <c r="I46" s="18">
        <v>135</v>
      </c>
      <c r="J46" s="18">
        <v>105</v>
      </c>
      <c r="K46" s="18">
        <v>60</v>
      </c>
      <c r="L46" s="18">
        <v>105</v>
      </c>
      <c r="M46" s="18">
        <v>20</v>
      </c>
      <c r="N46" s="18">
        <v>55</v>
      </c>
      <c r="O46" s="18" t="s">
        <v>820</v>
      </c>
      <c r="P46" s="13" t="s">
        <v>122</v>
      </c>
      <c r="Q46" t="str">
        <f>IFERROR(VLOOKUP(P46,MoveData[],3,FALSE),"")</f>
        <v>Ground</v>
      </c>
      <c r="R46" t="str">
        <f>IFERROR(VLOOKUP(P46,MoveData[],4,FALSE),"")</f>
        <v>Physical</v>
      </c>
      <c r="S46" s="14">
        <v>80</v>
      </c>
      <c r="T46" s="15">
        <v>95</v>
      </c>
      <c r="U46" s="13" t="s">
        <v>375</v>
      </c>
      <c r="V46" t="str">
        <f>IFERROR(VLOOKUP(U46,MoveData[],3,FALSE),"")</f>
        <v>Steel</v>
      </c>
      <c r="W46" t="str">
        <f>IFERROR(VLOOKUP(U46,MoveData[],4,FALSE),"")</f>
        <v>Physical</v>
      </c>
      <c r="X46" s="14">
        <v>80</v>
      </c>
      <c r="Y46" s="15">
        <v>100</v>
      </c>
      <c r="Z46" s="13" t="s">
        <v>113</v>
      </c>
      <c r="AA46" t="str">
        <f>IFERROR(VLOOKUP(Z46,MoveData[],3,FALSE),"")</f>
        <v>Bug</v>
      </c>
      <c r="AB46" t="str">
        <f>IFERROR(VLOOKUP(Z46,MoveData[],4,FALSE),"")</f>
        <v>Physical</v>
      </c>
      <c r="AC46" s="14">
        <v>120</v>
      </c>
      <c r="AD46" s="15">
        <v>85</v>
      </c>
      <c r="AE46" s="13" t="s">
        <v>26</v>
      </c>
      <c r="AF46" t="str">
        <f>IFERROR(VLOOKUP(AE46,MoveData[],3,FALSE),"")</f>
        <v>Normal</v>
      </c>
      <c r="AG46" t="str">
        <f>IFERROR(VLOOKUP(AE46,MoveData[],4,FALSE),"")</f>
        <v>Status</v>
      </c>
      <c r="AH46" s="14">
        <v>0</v>
      </c>
      <c r="AI46" s="15">
        <v>100</v>
      </c>
      <c r="AJ46" s="13" t="s">
        <v>870</v>
      </c>
      <c r="AK46" s="13" t="s">
        <v>837</v>
      </c>
    </row>
    <row r="47" spans="1:37">
      <c r="A47" s="13" t="s">
        <v>788</v>
      </c>
      <c r="B47" s="13" t="s">
        <v>789</v>
      </c>
      <c r="C47" s="13">
        <v>1</v>
      </c>
      <c r="D47" s="13">
        <v>2</v>
      </c>
      <c r="E47" s="13" t="s">
        <v>791</v>
      </c>
      <c r="F47" s="13" t="s">
        <v>43</v>
      </c>
      <c r="G47" s="13" t="s">
        <v>24</v>
      </c>
      <c r="H47" s="18">
        <v>74</v>
      </c>
      <c r="I47" s="18">
        <v>94</v>
      </c>
      <c r="J47" s="18">
        <v>131</v>
      </c>
      <c r="K47" s="18">
        <v>54</v>
      </c>
      <c r="L47" s="18">
        <v>116</v>
      </c>
      <c r="M47" s="18">
        <v>20</v>
      </c>
      <c r="N47" s="18">
        <v>55</v>
      </c>
      <c r="O47" s="18" t="s">
        <v>820</v>
      </c>
      <c r="P47" s="13" t="s">
        <v>337</v>
      </c>
      <c r="Q47" t="str">
        <f>IFERROR(VLOOKUP(P47,MoveData[],3,FALSE),"")</f>
        <v>Steel</v>
      </c>
      <c r="R47" t="str">
        <f>IFERROR(VLOOKUP(P47,MoveData[],4,FALSE),"")</f>
        <v>Physical</v>
      </c>
      <c r="S47" s="14">
        <v>0</v>
      </c>
      <c r="T47" s="15">
        <v>100</v>
      </c>
      <c r="U47" s="13" t="s">
        <v>476</v>
      </c>
      <c r="V47" t="str">
        <f>IFERROR(VLOOKUP(U47,MoveData[],3,FALSE),"")</f>
        <v>Grass</v>
      </c>
      <c r="W47" t="str">
        <f>IFERROR(VLOOKUP(U47,MoveData[],4,FALSE),"")</f>
        <v>Physical</v>
      </c>
      <c r="X47" s="14">
        <v>120</v>
      </c>
      <c r="Y47" s="15">
        <v>85</v>
      </c>
      <c r="Z47" s="13" t="s">
        <v>174</v>
      </c>
      <c r="AA47" t="str">
        <f>IFERROR(VLOOKUP(Z47,MoveData[],3,FALSE),"")</f>
        <v>Fighting</v>
      </c>
      <c r="AB47" t="str">
        <f>IFERROR(VLOOKUP(Z47,MoveData[],4,FALSE),"")</f>
        <v>Physical</v>
      </c>
      <c r="AC47" s="14">
        <v>80</v>
      </c>
      <c r="AD47" s="15">
        <v>100</v>
      </c>
      <c r="AE47" s="13" t="s">
        <v>702</v>
      </c>
      <c r="AF47" t="str">
        <f>IFERROR(VLOOKUP(AE47,MoveData[],3,FALSE),"")</f>
        <v>Ghost</v>
      </c>
      <c r="AG47" t="str">
        <f>IFERROR(VLOOKUP(AE47,MoveData[],4,FALSE),"")</f>
        <v>Status</v>
      </c>
      <c r="AH47" s="14">
        <v>0</v>
      </c>
      <c r="AI47" s="15">
        <v>100</v>
      </c>
      <c r="AJ47" s="13" t="s">
        <v>871</v>
      </c>
      <c r="AK47" s="13" t="s">
        <v>837</v>
      </c>
    </row>
    <row r="48" spans="1:37">
      <c r="A48" s="13" t="s">
        <v>788</v>
      </c>
      <c r="B48" s="13" t="s">
        <v>789</v>
      </c>
      <c r="C48" s="13">
        <v>1</v>
      </c>
      <c r="D48" s="13">
        <v>3</v>
      </c>
      <c r="E48" s="13" t="s">
        <v>792</v>
      </c>
      <c r="F48" s="13" t="s">
        <v>24</v>
      </c>
      <c r="G48" s="13"/>
      <c r="H48" s="18">
        <v>70</v>
      </c>
      <c r="I48" s="18">
        <v>110</v>
      </c>
      <c r="J48" s="18">
        <v>100</v>
      </c>
      <c r="K48" s="18">
        <v>50</v>
      </c>
      <c r="L48" s="18">
        <v>60</v>
      </c>
      <c r="M48" s="18">
        <v>50</v>
      </c>
      <c r="N48" s="18">
        <v>55</v>
      </c>
      <c r="O48" s="18" t="s">
        <v>820</v>
      </c>
      <c r="P48" s="13" t="s">
        <v>375</v>
      </c>
      <c r="Q48" t="str">
        <f>IFERROR(VLOOKUP(P48,MoveData[],3,FALSE),"")</f>
        <v>Steel</v>
      </c>
      <c r="R48" t="str">
        <f>IFERROR(VLOOKUP(P48,MoveData[],4,FALSE),"")</f>
        <v>Physical</v>
      </c>
      <c r="S48" s="14">
        <v>80</v>
      </c>
      <c r="T48" s="15">
        <v>100</v>
      </c>
      <c r="U48" s="13" t="s">
        <v>103</v>
      </c>
      <c r="V48" t="str">
        <f>IFERROR(VLOOKUP(U48,MoveData[],3,FALSE),"")</f>
        <v>Ghost</v>
      </c>
      <c r="W48" t="str">
        <f>IFERROR(VLOOKUP(U48,MoveData[],4,FALSE),"")</f>
        <v>Physical</v>
      </c>
      <c r="X48" s="14">
        <v>70</v>
      </c>
      <c r="Y48" s="15">
        <v>100</v>
      </c>
      <c r="Z48" s="13" t="s">
        <v>121</v>
      </c>
      <c r="AA48" t="str">
        <f>IFERROR(VLOOKUP(Z48,MoveData[],3,FALSE),"")</f>
        <v>Dark</v>
      </c>
      <c r="AB48" t="str">
        <f>IFERROR(VLOOKUP(Z48,MoveData[],4,FALSE),"")</f>
        <v>Physical</v>
      </c>
      <c r="AC48" s="14">
        <v>80</v>
      </c>
      <c r="AD48" s="15">
        <v>100</v>
      </c>
      <c r="AE48" s="13" t="s">
        <v>682</v>
      </c>
      <c r="AF48" t="str">
        <f>IFERROR(VLOOKUP(AE48,MoveData[],3,FALSE),"")</f>
        <v>Normal</v>
      </c>
      <c r="AG48" t="str">
        <f>IFERROR(VLOOKUP(AE48,MoveData[],4,FALSE),"")</f>
        <v>Status</v>
      </c>
      <c r="AH48" s="14">
        <v>0</v>
      </c>
      <c r="AI48" s="15">
        <v>85</v>
      </c>
      <c r="AJ48" s="13" t="s">
        <v>872</v>
      </c>
      <c r="AK48" s="13" t="s">
        <v>831</v>
      </c>
    </row>
    <row r="49" spans="1:37">
      <c r="A49" s="13" t="s">
        <v>788</v>
      </c>
      <c r="B49" s="13" t="s">
        <v>789</v>
      </c>
      <c r="C49" s="13">
        <v>1</v>
      </c>
      <c r="D49" s="13">
        <v>4</v>
      </c>
      <c r="E49" s="13" t="s">
        <v>793</v>
      </c>
      <c r="F49" s="13" t="s">
        <v>24</v>
      </c>
      <c r="G49" s="13"/>
      <c r="H49" s="18">
        <v>60</v>
      </c>
      <c r="I49" s="18">
        <v>100</v>
      </c>
      <c r="J49" s="18">
        <v>115</v>
      </c>
      <c r="K49" s="18">
        <v>70</v>
      </c>
      <c r="L49" s="18">
        <v>85</v>
      </c>
      <c r="M49" s="18">
        <v>90</v>
      </c>
      <c r="N49" s="18">
        <v>56</v>
      </c>
      <c r="O49" s="18" t="s">
        <v>820</v>
      </c>
      <c r="P49" s="13" t="s">
        <v>322</v>
      </c>
      <c r="Q49" t="str">
        <f>IFERROR(VLOOKUP(P49,MoveData[],3,FALSE),"")</f>
        <v>Steel</v>
      </c>
      <c r="R49" t="str">
        <f>IFERROR(VLOOKUP(P49,MoveData[],4,FALSE),"")</f>
        <v>Physical</v>
      </c>
      <c r="S49" s="14">
        <v>50</v>
      </c>
      <c r="T49" s="15">
        <v>85</v>
      </c>
      <c r="U49" s="13" t="s">
        <v>646</v>
      </c>
      <c r="V49" t="str">
        <f>IFERROR(VLOOKUP(U49,MoveData[],3,FALSE),"")</f>
        <v>Electric</v>
      </c>
      <c r="W49" t="str">
        <f>IFERROR(VLOOKUP(U49,MoveData[],4,FALSE),"")</f>
        <v>Physical</v>
      </c>
      <c r="X49" s="14">
        <v>90</v>
      </c>
      <c r="Y49" s="15">
        <v>100</v>
      </c>
      <c r="Z49" s="13" t="s">
        <v>150</v>
      </c>
      <c r="AA49" t="str">
        <f>IFERROR(VLOOKUP(Z49,MoveData[],3,FALSE),"")</f>
        <v>Dark</v>
      </c>
      <c r="AB49" t="str">
        <f>IFERROR(VLOOKUP(Z49,MoveData[],4,FALSE),"")</f>
        <v>Physical</v>
      </c>
      <c r="AC49" s="14">
        <v>60</v>
      </c>
      <c r="AD49" s="15">
        <v>100</v>
      </c>
      <c r="AE49" s="13" t="s">
        <v>794</v>
      </c>
      <c r="AF49" t="str">
        <f>IFERROR(VLOOKUP(AE49,MoveData[],3,FALSE),"")</f>
        <v>Steel</v>
      </c>
      <c r="AG49" t="str">
        <f>IFERROR(VLOOKUP(AE49,MoveData[],4,FALSE),"")</f>
        <v>Status</v>
      </c>
      <c r="AH49" s="14">
        <v>0</v>
      </c>
      <c r="AI49" s="15">
        <v>100</v>
      </c>
      <c r="AJ49" s="13" t="s">
        <v>873</v>
      </c>
      <c r="AK49" s="13" t="s">
        <v>837</v>
      </c>
    </row>
    <row r="50" spans="1:37">
      <c r="A50" s="13" t="s">
        <v>788</v>
      </c>
      <c r="B50" s="13" t="s">
        <v>789</v>
      </c>
      <c r="C50" s="13">
        <v>1</v>
      </c>
      <c r="D50" s="13">
        <v>5</v>
      </c>
      <c r="E50" s="13" t="s">
        <v>795</v>
      </c>
      <c r="F50" s="13" t="s">
        <v>24</v>
      </c>
      <c r="G50" s="13"/>
      <c r="H50" s="18">
        <v>122</v>
      </c>
      <c r="I50" s="18">
        <v>130</v>
      </c>
      <c r="J50" s="18">
        <v>69</v>
      </c>
      <c r="K50" s="18">
        <v>80</v>
      </c>
      <c r="L50" s="18">
        <v>69</v>
      </c>
      <c r="M50" s="18">
        <v>30</v>
      </c>
      <c r="N50" s="18">
        <v>57</v>
      </c>
      <c r="O50" s="18" t="s">
        <v>820</v>
      </c>
      <c r="P50" s="13" t="s">
        <v>796</v>
      </c>
      <c r="Q50" t="s">
        <v>24</v>
      </c>
      <c r="R50" t="s">
        <v>31</v>
      </c>
      <c r="S50" s="14">
        <v>130</v>
      </c>
      <c r="T50" s="15">
        <v>100</v>
      </c>
      <c r="U50" s="13" t="s">
        <v>796</v>
      </c>
      <c r="V50" t="s">
        <v>24</v>
      </c>
      <c r="W50" t="s">
        <v>31</v>
      </c>
      <c r="X50" s="14">
        <v>130</v>
      </c>
      <c r="Y50" s="15">
        <v>100</v>
      </c>
      <c r="Z50" s="13" t="s">
        <v>413</v>
      </c>
      <c r="AA50" t="s">
        <v>23</v>
      </c>
      <c r="AB50" t="s">
        <v>31</v>
      </c>
      <c r="AC50" s="14">
        <v>130</v>
      </c>
      <c r="AD50" s="15">
        <v>100</v>
      </c>
      <c r="AE50" s="13" t="s">
        <v>410</v>
      </c>
      <c r="AF50" t="s">
        <v>22</v>
      </c>
      <c r="AG50" t="s">
        <v>31</v>
      </c>
      <c r="AH50" s="14">
        <v>130</v>
      </c>
      <c r="AI50" s="15">
        <v>100</v>
      </c>
      <c r="AJ50" s="13" t="s">
        <v>874</v>
      </c>
      <c r="AK50" s="13" t="s">
        <v>831</v>
      </c>
    </row>
    <row r="51" spans="1:37">
      <c r="A51" s="13" t="s">
        <v>703</v>
      </c>
      <c r="B51" s="13" t="s">
        <v>99</v>
      </c>
      <c r="C51" s="13">
        <v>2</v>
      </c>
      <c r="D51" s="13">
        <v>1</v>
      </c>
      <c r="E51" s="13" t="s">
        <v>712</v>
      </c>
      <c r="F51" s="13" t="s">
        <v>35</v>
      </c>
      <c r="G51" s="13" t="s">
        <v>20</v>
      </c>
      <c r="H51" s="18">
        <v>78</v>
      </c>
      <c r="I51" s="18">
        <v>92</v>
      </c>
      <c r="J51" s="18">
        <v>75</v>
      </c>
      <c r="K51" s="18">
        <v>74</v>
      </c>
      <c r="L51" s="18">
        <v>63</v>
      </c>
      <c r="M51" s="18">
        <v>118</v>
      </c>
      <c r="N51" s="18">
        <v>52</v>
      </c>
      <c r="O51" s="18" t="s">
        <v>820</v>
      </c>
      <c r="P51" s="13" t="s">
        <v>305</v>
      </c>
      <c r="Q51" t="str">
        <f>IFERROR(VLOOKUP(P51,MoveData[],3,FALSE),"")</f>
        <v>Fighting</v>
      </c>
      <c r="R51" t="str">
        <f>IFERROR(VLOOKUP(P51,MoveData[],4,FALSE),"")</f>
        <v>Physical</v>
      </c>
      <c r="S51" s="14">
        <v>100</v>
      </c>
      <c r="T51" s="15">
        <v>95</v>
      </c>
      <c r="U51" s="13" t="s">
        <v>350</v>
      </c>
      <c r="V51" t="str">
        <f>IFERROR(VLOOKUP(U51,MoveData[],3,FALSE),"")</f>
        <v>Fighting</v>
      </c>
      <c r="W51" t="str">
        <f>IFERROR(VLOOKUP(U51,MoveData[],4,FALSE),"")</f>
        <v>Physical</v>
      </c>
      <c r="X51" s="14">
        <v>130</v>
      </c>
      <c r="Y51" s="15">
        <v>90</v>
      </c>
      <c r="Z51" s="13" t="s">
        <v>182</v>
      </c>
      <c r="AA51" t="str">
        <f>IFERROR(VLOOKUP(Z51,MoveData[],3,FALSE),"")</f>
        <v>Flying</v>
      </c>
      <c r="AB51" t="str">
        <f>IFERROR(VLOOKUP(Z51,MoveData[],4,FALSE),"")</f>
        <v>Physical</v>
      </c>
      <c r="AC51" s="14">
        <v>85</v>
      </c>
      <c r="AD51" s="15">
        <v>85</v>
      </c>
      <c r="AE51" s="13"/>
      <c r="AF51" t="str">
        <f>IFERROR(VLOOKUP(AE51,MoveData[],3,FALSE),"")</f>
        <v/>
      </c>
      <c r="AG51" t="str">
        <f>IFERROR(VLOOKUP(AE51,MoveData[],4,FALSE),"")</f>
        <v/>
      </c>
      <c r="AH51" s="14">
        <v>0</v>
      </c>
      <c r="AI51" s="15">
        <v>100</v>
      </c>
      <c r="AJ51" s="13" t="s">
        <v>875</v>
      </c>
      <c r="AK51" s="13" t="s">
        <v>831</v>
      </c>
    </row>
    <row r="52" spans="1:37">
      <c r="A52" s="13" t="s">
        <v>703</v>
      </c>
      <c r="B52" s="13" t="s">
        <v>99</v>
      </c>
      <c r="C52" s="13">
        <v>2</v>
      </c>
      <c r="D52" s="13">
        <v>2</v>
      </c>
      <c r="E52" s="13" t="s">
        <v>713</v>
      </c>
      <c r="F52" s="13" t="s">
        <v>20</v>
      </c>
      <c r="G52" s="13"/>
      <c r="H52" s="18">
        <v>80</v>
      </c>
      <c r="I52" s="18">
        <v>118</v>
      </c>
      <c r="J52" s="18">
        <v>90</v>
      </c>
      <c r="K52" s="18">
        <v>70</v>
      </c>
      <c r="L52" s="18">
        <v>80</v>
      </c>
      <c r="M52" s="18">
        <v>42</v>
      </c>
      <c r="N52" s="18">
        <v>52</v>
      </c>
      <c r="O52" s="18" t="s">
        <v>820</v>
      </c>
      <c r="P52" s="13" t="s">
        <v>167</v>
      </c>
      <c r="Q52" t="str">
        <f>IFERROR(VLOOKUP(P52,MoveData[],3,FALSE),"")</f>
        <v>Normal</v>
      </c>
      <c r="R52" t="str">
        <f>IFERROR(VLOOKUP(P52,MoveData[],4,FALSE),"")</f>
        <v>Physical</v>
      </c>
      <c r="S52" s="14">
        <v>15</v>
      </c>
      <c r="T52" s="15">
        <v>85</v>
      </c>
      <c r="U52" s="13" t="s">
        <v>594</v>
      </c>
      <c r="V52" t="str">
        <f>IFERROR(VLOOKUP(U52,MoveData[],3,FALSE),"")</f>
        <v>Fighting</v>
      </c>
      <c r="W52" t="str">
        <f>IFERROR(VLOOKUP(U52,MoveData[],4,FALSE),"")</f>
        <v>Physical</v>
      </c>
      <c r="X52" s="14">
        <v>80</v>
      </c>
      <c r="Y52" s="15">
        <v>80</v>
      </c>
      <c r="Z52" s="13" t="s">
        <v>419</v>
      </c>
      <c r="AA52" t="str">
        <f>IFERROR(VLOOKUP(Z52,MoveData[],3,FALSE),"")</f>
        <v>Normal</v>
      </c>
      <c r="AB52" t="str">
        <f>IFERROR(VLOOKUP(Z52,MoveData[],4,FALSE),"")</f>
        <v>Physical</v>
      </c>
      <c r="AC52" s="14">
        <v>80</v>
      </c>
      <c r="AD52" s="15">
        <v>85</v>
      </c>
      <c r="AE52" s="13" t="s">
        <v>714</v>
      </c>
      <c r="AF52" t="str">
        <f>IFERROR(VLOOKUP(AE52,MoveData[],3,FALSE),"")</f>
        <v>Fighting</v>
      </c>
      <c r="AG52" t="str">
        <f>IFERROR(VLOOKUP(AE52,MoveData[],4,FALSE),"")</f>
        <v>Status</v>
      </c>
      <c r="AH52" s="14">
        <v>0</v>
      </c>
      <c r="AI52" s="15">
        <v>100</v>
      </c>
      <c r="AJ52" s="13" t="s">
        <v>876</v>
      </c>
      <c r="AK52" s="13" t="s">
        <v>837</v>
      </c>
    </row>
    <row r="53" spans="1:37">
      <c r="A53" s="13" t="s">
        <v>703</v>
      </c>
      <c r="B53" s="13" t="s">
        <v>99</v>
      </c>
      <c r="C53" s="13">
        <v>2</v>
      </c>
      <c r="D53" s="13">
        <v>3</v>
      </c>
      <c r="E53" s="13" t="s">
        <v>708</v>
      </c>
      <c r="F53" s="13" t="s">
        <v>20</v>
      </c>
      <c r="G53" s="13"/>
      <c r="H53" s="18">
        <v>62</v>
      </c>
      <c r="I53" s="18">
        <v>135</v>
      </c>
      <c r="J53" s="18">
        <v>95</v>
      </c>
      <c r="K53" s="18">
        <v>68</v>
      </c>
      <c r="L53" s="18">
        <v>82</v>
      </c>
      <c r="M53" s="18">
        <v>65</v>
      </c>
      <c r="N53" s="18">
        <v>53</v>
      </c>
      <c r="O53" s="18" t="s">
        <v>820</v>
      </c>
      <c r="P53" s="13" t="s">
        <v>386</v>
      </c>
      <c r="Q53" t="str">
        <f>IFERROR(VLOOKUP(P53,MoveData[],3,FALSE),"")</f>
        <v>Grass</v>
      </c>
      <c r="R53" t="str">
        <f>IFERROR(VLOOKUP(P53,MoveData[],4,FALSE),"")</f>
        <v>Physical</v>
      </c>
      <c r="S53" s="14">
        <v>90</v>
      </c>
      <c r="T53" s="15">
        <v>100</v>
      </c>
      <c r="U53" s="13" t="s">
        <v>187</v>
      </c>
      <c r="V53" t="str">
        <f>IFERROR(VLOOKUP(U53,MoveData[],3,FALSE),"")</f>
        <v>Fighting</v>
      </c>
      <c r="W53" t="str">
        <f>IFERROR(VLOOKUP(U53,MoveData[],4,FALSE),"")</f>
        <v>Physical</v>
      </c>
      <c r="X53" s="14">
        <v>75</v>
      </c>
      <c r="Y53" s="15">
        <v>100</v>
      </c>
      <c r="Z53" s="13" t="s">
        <v>551</v>
      </c>
      <c r="AA53" t="str">
        <f>IFERROR(VLOOKUP(Z53,MoveData[],3,FALSE),"")</f>
        <v>Normal</v>
      </c>
      <c r="AB53" t="str">
        <f>IFERROR(VLOOKUP(Z53,MoveData[],4,FALSE),"")</f>
        <v>Physical</v>
      </c>
      <c r="AC53" s="14">
        <v>80</v>
      </c>
      <c r="AD53" s="15">
        <v>75</v>
      </c>
      <c r="AE53" s="13" t="s">
        <v>189</v>
      </c>
      <c r="AF53" t="str">
        <f>IFERROR(VLOOKUP(AE53,MoveData[],3,FALSE),"")</f>
        <v>Dark</v>
      </c>
      <c r="AG53" t="str">
        <f>IFERROR(VLOOKUP(AE53,MoveData[],4,FALSE),"")</f>
        <v>Physical</v>
      </c>
      <c r="AH53" s="14">
        <v>60</v>
      </c>
      <c r="AI53" s="15">
        <v>100</v>
      </c>
      <c r="AJ53" s="13" t="s">
        <v>833</v>
      </c>
      <c r="AK53" s="13" t="s">
        <v>831</v>
      </c>
    </row>
    <row r="54" spans="1:37">
      <c r="A54" s="13" t="s">
        <v>703</v>
      </c>
      <c r="B54" s="13" t="s">
        <v>99</v>
      </c>
      <c r="C54" s="13">
        <v>2</v>
      </c>
      <c r="D54" s="13">
        <v>4</v>
      </c>
      <c r="E54" s="13" t="s">
        <v>715</v>
      </c>
      <c r="F54" s="13" t="s">
        <v>20</v>
      </c>
      <c r="G54" s="13"/>
      <c r="H54" s="18">
        <v>65</v>
      </c>
      <c r="I54" s="18">
        <v>100</v>
      </c>
      <c r="J54" s="18">
        <v>100</v>
      </c>
      <c r="K54" s="18">
        <v>70</v>
      </c>
      <c r="L54" s="18">
        <v>60</v>
      </c>
      <c r="M54" s="18">
        <v>75</v>
      </c>
      <c r="N54" s="18">
        <v>53</v>
      </c>
      <c r="O54" s="18" t="s">
        <v>820</v>
      </c>
      <c r="P54" s="13" t="s">
        <v>211</v>
      </c>
      <c r="Q54" t="str">
        <f>IFERROR(VLOOKUP(P54,MoveData[],3,FALSE),"")</f>
        <v>Fighting</v>
      </c>
      <c r="R54" t="str">
        <f>IFERROR(VLOOKUP(P54,MoveData[],4,FALSE),"")</f>
        <v>Physical</v>
      </c>
      <c r="S54" s="14">
        <v>120</v>
      </c>
      <c r="T54" s="15">
        <v>100</v>
      </c>
      <c r="U54" s="13" t="s">
        <v>512</v>
      </c>
      <c r="V54" t="str">
        <f>IFERROR(VLOOKUP(U54,MoveData[],3,FALSE),"")</f>
        <v>Rock</v>
      </c>
      <c r="W54" t="str">
        <f>IFERROR(VLOOKUP(U54,MoveData[],4,FALSE),"")</f>
        <v>Physical</v>
      </c>
      <c r="X54" s="14">
        <v>60</v>
      </c>
      <c r="Y54" s="15">
        <v>95</v>
      </c>
      <c r="Z54" s="13" t="s">
        <v>716</v>
      </c>
      <c r="AA54" t="str">
        <f>IFERROR(VLOOKUP(Z54,MoveData[],3,FALSE),"")</f>
        <v>Fighting</v>
      </c>
      <c r="AB54" t="str">
        <f>IFERROR(VLOOKUP(Z54,MoveData[],4,FALSE),"")</f>
        <v>Status</v>
      </c>
      <c r="AC54" s="14">
        <v>0</v>
      </c>
      <c r="AD54" s="15">
        <v>100</v>
      </c>
      <c r="AE54" s="13" t="s">
        <v>717</v>
      </c>
      <c r="AF54" t="str">
        <f>IFERROR(VLOOKUP(AE54,MoveData[],3,FALSE),"")</f>
        <v>Fighting</v>
      </c>
      <c r="AG54" t="str">
        <f>IFERROR(VLOOKUP(AE54,MoveData[],4,FALSE),"")</f>
        <v>Status</v>
      </c>
      <c r="AH54" s="14">
        <v>0</v>
      </c>
      <c r="AI54" s="15">
        <v>100</v>
      </c>
      <c r="AJ54" s="13" t="s">
        <v>872</v>
      </c>
      <c r="AK54" s="13" t="s">
        <v>831</v>
      </c>
    </row>
    <row r="55" spans="1:37">
      <c r="A55" s="13" t="s">
        <v>703</v>
      </c>
      <c r="B55" s="13" t="s">
        <v>99</v>
      </c>
      <c r="C55" s="13">
        <v>2</v>
      </c>
      <c r="D55" s="13">
        <v>5</v>
      </c>
      <c r="E55" s="13" t="s">
        <v>710</v>
      </c>
      <c r="F55" s="13" t="s">
        <v>20</v>
      </c>
      <c r="G55" s="13"/>
      <c r="H55" s="18">
        <v>90</v>
      </c>
      <c r="I55" s="18">
        <v>130</v>
      </c>
      <c r="J55" s="18">
        <v>80</v>
      </c>
      <c r="K55" s="18">
        <v>65</v>
      </c>
      <c r="L55" s="18">
        <v>85</v>
      </c>
      <c r="M55" s="18">
        <v>55</v>
      </c>
      <c r="N55" s="18">
        <v>54</v>
      </c>
      <c r="O55" s="18" t="s">
        <v>820</v>
      </c>
      <c r="P55" s="13" t="s">
        <v>711</v>
      </c>
      <c r="Q55" t="s">
        <v>20</v>
      </c>
      <c r="R55" t="s">
        <v>31</v>
      </c>
      <c r="S55" s="14">
        <v>130</v>
      </c>
      <c r="T55" s="15">
        <v>100</v>
      </c>
      <c r="U55" s="13" t="s">
        <v>711</v>
      </c>
      <c r="V55" t="s">
        <v>20</v>
      </c>
      <c r="W55" t="s">
        <v>31</v>
      </c>
      <c r="X55" s="14">
        <v>140</v>
      </c>
      <c r="Y55" s="15">
        <v>100</v>
      </c>
      <c r="Z55" s="13" t="s">
        <v>405</v>
      </c>
      <c r="AA55" t="s">
        <v>19</v>
      </c>
      <c r="AB55" t="s">
        <v>31</v>
      </c>
      <c r="AC55" s="14">
        <v>130</v>
      </c>
      <c r="AD55" s="15">
        <v>100</v>
      </c>
      <c r="AE55" s="13" t="s">
        <v>64</v>
      </c>
      <c r="AF55" t="s">
        <v>32</v>
      </c>
      <c r="AG55" t="s">
        <v>31</v>
      </c>
      <c r="AH55" s="14">
        <v>130</v>
      </c>
      <c r="AI55" s="15">
        <v>100</v>
      </c>
      <c r="AJ55" s="13" t="s">
        <v>834</v>
      </c>
      <c r="AK55" s="13" t="s">
        <v>831</v>
      </c>
    </row>
    <row r="56" spans="1:37">
      <c r="A56" s="13" t="s">
        <v>670</v>
      </c>
      <c r="B56" s="13" t="s">
        <v>674</v>
      </c>
      <c r="C56" s="13">
        <v>2</v>
      </c>
      <c r="D56" s="13">
        <v>1</v>
      </c>
      <c r="E56" s="13" t="s">
        <v>672</v>
      </c>
      <c r="F56" s="13" t="s">
        <v>32</v>
      </c>
      <c r="G56" s="13"/>
      <c r="H56" s="18">
        <v>42</v>
      </c>
      <c r="I56" s="18">
        <v>40</v>
      </c>
      <c r="J56" s="18">
        <v>55</v>
      </c>
      <c r="K56" s="18">
        <v>40</v>
      </c>
      <c r="L56" s="18">
        <v>45</v>
      </c>
      <c r="M56" s="18">
        <v>48</v>
      </c>
      <c r="N56" s="18">
        <v>6</v>
      </c>
      <c r="O56" s="18" t="s">
        <v>820</v>
      </c>
      <c r="P56" s="13" t="s">
        <v>603</v>
      </c>
      <c r="Q56" t="str">
        <f>IFERROR(VLOOKUP(P56,MoveData[],3,FALSE),"")</f>
        <v>Normal</v>
      </c>
      <c r="R56" t="str">
        <f>IFERROR(VLOOKUP(P56,MoveData[],4,FALSE),"")</f>
        <v>Physical</v>
      </c>
      <c r="S56" s="14">
        <v>40</v>
      </c>
      <c r="T56" s="15">
        <v>100</v>
      </c>
      <c r="U56" s="13" t="s">
        <v>98</v>
      </c>
      <c r="V56" t="str">
        <f>IFERROR(VLOOKUP(U56,MoveData[],3,FALSE),"")</f>
        <v>Normal</v>
      </c>
      <c r="W56" t="str">
        <f>IFERROR(VLOOKUP(U56,MoveData[],4,FALSE),"")</f>
        <v>Status</v>
      </c>
      <c r="X56" s="14">
        <v>0</v>
      </c>
      <c r="Y56" s="15">
        <v>100</v>
      </c>
      <c r="Z56" s="13"/>
      <c r="AA56" t="str">
        <f>IFERROR(VLOOKUP(Z56,MoveData[],3,FALSE),"")</f>
        <v/>
      </c>
      <c r="AB56" t="str">
        <f>IFERROR(VLOOKUP(Z56,MoveData[],4,FALSE),"")</f>
        <v/>
      </c>
      <c r="AC56" s="14">
        <v>0</v>
      </c>
      <c r="AD56" s="15">
        <v>100</v>
      </c>
      <c r="AE56" s="13"/>
      <c r="AF56" t="str">
        <f>IFERROR(VLOOKUP(AE56,MoveData[],3,FALSE),"")</f>
        <v/>
      </c>
      <c r="AG56" t="str">
        <f>IFERROR(VLOOKUP(AE56,MoveData[],4,FALSE),"")</f>
        <v/>
      </c>
      <c r="AH56" s="14">
        <v>0</v>
      </c>
      <c r="AI56" s="15">
        <v>100</v>
      </c>
      <c r="AJ56" s="13" t="s">
        <v>841</v>
      </c>
      <c r="AK56" s="13" t="s">
        <v>837</v>
      </c>
    </row>
    <row r="57" spans="1:37">
      <c r="A57" s="13" t="s">
        <v>670</v>
      </c>
      <c r="B57" s="13" t="s">
        <v>674</v>
      </c>
      <c r="C57" s="13">
        <v>2</v>
      </c>
      <c r="D57" s="13">
        <v>2</v>
      </c>
      <c r="E57" s="13" t="s">
        <v>675</v>
      </c>
      <c r="F57" s="13" t="s">
        <v>35</v>
      </c>
      <c r="G57" s="13"/>
      <c r="H57" s="18">
        <v>38</v>
      </c>
      <c r="I57" s="18">
        <v>47</v>
      </c>
      <c r="J57" s="18">
        <v>35</v>
      </c>
      <c r="K57" s="18">
        <v>33</v>
      </c>
      <c r="L57" s="18">
        <v>35</v>
      </c>
      <c r="M57" s="18">
        <v>57</v>
      </c>
      <c r="N57" s="18">
        <v>5</v>
      </c>
      <c r="O57" s="18" t="s">
        <v>820</v>
      </c>
      <c r="P57" s="13" t="s">
        <v>456</v>
      </c>
      <c r="Q57" t="str">
        <f>IFERROR(VLOOKUP(P57,MoveData[],3,FALSE),"")</f>
        <v>Flying</v>
      </c>
      <c r="R57" t="str">
        <f>IFERROR(VLOOKUP(P57,MoveData[],4,FALSE),"")</f>
        <v>Physical</v>
      </c>
      <c r="S57" s="14">
        <v>35</v>
      </c>
      <c r="T57" s="15">
        <v>100</v>
      </c>
      <c r="U57" s="13" t="s">
        <v>676</v>
      </c>
      <c r="V57" t="str">
        <f>IFERROR(VLOOKUP(U57,MoveData[],3,FALSE),"")</f>
        <v>Normal</v>
      </c>
      <c r="W57" t="str">
        <f>IFERROR(VLOOKUP(U57,MoveData[],4,FALSE),"")</f>
        <v>Status</v>
      </c>
      <c r="X57" s="14">
        <v>0</v>
      </c>
      <c r="Y57" s="15">
        <v>100</v>
      </c>
      <c r="Z57" s="13"/>
      <c r="AA57" t="str">
        <f>IFERROR(VLOOKUP(Z57,MoveData[],3,FALSE),"")</f>
        <v/>
      </c>
      <c r="AB57" t="str">
        <f>IFERROR(VLOOKUP(Z57,MoveData[],4,FALSE),"")</f>
        <v/>
      </c>
      <c r="AC57" s="14">
        <v>0</v>
      </c>
      <c r="AD57" s="15">
        <v>100</v>
      </c>
      <c r="AE57" s="13"/>
      <c r="AF57" t="str">
        <f>IFERROR(VLOOKUP(AE57,MoveData[],3,FALSE),"")</f>
        <v/>
      </c>
      <c r="AG57" t="str">
        <f>IFERROR(VLOOKUP(AE57,MoveData[],4,FALSE),"")</f>
        <v/>
      </c>
      <c r="AH57" s="14">
        <v>0</v>
      </c>
      <c r="AI57" s="15">
        <v>100</v>
      </c>
      <c r="AJ57" s="13" t="s">
        <v>877</v>
      </c>
      <c r="AK57" s="13" t="s">
        <v>837</v>
      </c>
    </row>
    <row r="58" spans="1:37">
      <c r="A58" s="13" t="s">
        <v>670</v>
      </c>
      <c r="B58" s="13" t="s">
        <v>674</v>
      </c>
      <c r="C58" s="13">
        <v>2</v>
      </c>
      <c r="D58" s="13">
        <v>3</v>
      </c>
      <c r="E58" s="13" t="s">
        <v>673</v>
      </c>
      <c r="F58" s="13" t="s">
        <v>43</v>
      </c>
      <c r="G58" s="13"/>
      <c r="H58" s="18">
        <v>50</v>
      </c>
      <c r="I58" s="18">
        <v>65</v>
      </c>
      <c r="J58" s="18">
        <v>50</v>
      </c>
      <c r="K58" s="18">
        <v>40</v>
      </c>
      <c r="L58" s="18">
        <v>40</v>
      </c>
      <c r="M58" s="18">
        <v>65</v>
      </c>
      <c r="N58" s="18">
        <v>8</v>
      </c>
      <c r="O58" s="18" t="s">
        <v>820</v>
      </c>
      <c r="P58" s="13" t="s">
        <v>524</v>
      </c>
      <c r="Q58" t="str">
        <f>IFERROR(VLOOKUP(P58,MoveData[],3,FALSE),"")</f>
        <v>Normal</v>
      </c>
      <c r="R58" t="str">
        <f>IFERROR(VLOOKUP(P58,MoveData[],4,FALSE),"")</f>
        <v>Physical</v>
      </c>
      <c r="S58" s="14">
        <v>40</v>
      </c>
      <c r="T58" s="15">
        <v>100</v>
      </c>
      <c r="U58" s="13" t="s">
        <v>184</v>
      </c>
      <c r="V58" t="str">
        <f>IFERROR(VLOOKUP(U58,MoveData[],3,FALSE),"")</f>
        <v>Grass</v>
      </c>
      <c r="W58" t="str">
        <f>IFERROR(VLOOKUP(U58,MoveData[],4,FALSE),"")</f>
        <v>Physical</v>
      </c>
      <c r="X58" s="14">
        <v>40</v>
      </c>
      <c r="Y58" s="15">
        <v>100</v>
      </c>
      <c r="Z58" s="13" t="s">
        <v>98</v>
      </c>
      <c r="AA58" t="str">
        <f>IFERROR(VLOOKUP(Z58,MoveData[],3,FALSE),"")</f>
        <v>Normal</v>
      </c>
      <c r="AB58" t="str">
        <f>IFERROR(VLOOKUP(Z58,MoveData[],4,FALSE),"")</f>
        <v>Status</v>
      </c>
      <c r="AC58" s="14">
        <v>0</v>
      </c>
      <c r="AD58" s="15">
        <v>100</v>
      </c>
      <c r="AE58" s="13"/>
      <c r="AF58" t="str">
        <f>IFERROR(VLOOKUP(AE58,MoveData[],3,FALSE),"")</f>
        <v/>
      </c>
      <c r="AG58" t="str">
        <f>IFERROR(VLOOKUP(AE58,MoveData[],4,FALSE),"")</f>
        <v/>
      </c>
      <c r="AH58" s="14">
        <v>0</v>
      </c>
      <c r="AI58" s="15">
        <v>100</v>
      </c>
      <c r="AJ58" s="13" t="s">
        <v>842</v>
      </c>
      <c r="AK58" s="13" t="s">
        <v>843</v>
      </c>
    </row>
    <row r="59" spans="1:37">
      <c r="A59" s="13" t="s">
        <v>725</v>
      </c>
      <c r="B59" s="13" t="s">
        <v>729</v>
      </c>
      <c r="C59" s="13">
        <v>2</v>
      </c>
      <c r="D59" s="13">
        <v>1</v>
      </c>
      <c r="E59" s="13" t="s">
        <v>731</v>
      </c>
      <c r="F59" s="13" t="s">
        <v>38</v>
      </c>
      <c r="G59" s="13"/>
      <c r="H59" s="18">
        <v>64</v>
      </c>
      <c r="I59" s="18">
        <v>88</v>
      </c>
      <c r="J59" s="18">
        <v>50</v>
      </c>
      <c r="K59" s="18">
        <v>88</v>
      </c>
      <c r="L59" s="18">
        <v>50</v>
      </c>
      <c r="M59" s="18">
        <v>106</v>
      </c>
      <c r="N59" s="18">
        <v>42</v>
      </c>
      <c r="O59" s="18" t="s">
        <v>820</v>
      </c>
      <c r="P59" s="13" t="s">
        <v>277</v>
      </c>
      <c r="Q59" t="str">
        <f>IFERROR(VLOOKUP(P59,MoveData[],3,FALSE),"")</f>
        <v>Normal</v>
      </c>
      <c r="R59" t="str">
        <f>IFERROR(VLOOKUP(P59,MoveData[],4,FALSE),"")</f>
        <v>Physical</v>
      </c>
      <c r="S59" s="14">
        <v>40</v>
      </c>
      <c r="T59" s="15">
        <v>100</v>
      </c>
      <c r="U59" s="13" t="s">
        <v>595</v>
      </c>
      <c r="V59" t="str">
        <f>IFERROR(VLOOKUP(U59,MoveData[],3,FALSE),"")</f>
        <v>Dark</v>
      </c>
      <c r="W59" t="str">
        <f>IFERROR(VLOOKUP(U59,MoveData[],4,FALSE),"")</f>
        <v>Physical</v>
      </c>
      <c r="X59" s="14">
        <v>70</v>
      </c>
      <c r="Y59" s="15">
        <v>100</v>
      </c>
      <c r="Z59" s="13" t="s">
        <v>732</v>
      </c>
      <c r="AA59" t="str">
        <f>IFERROR(VLOOKUP(Z59,MoveData[],3,FALSE),"")</f>
        <v>Dark</v>
      </c>
      <c r="AB59" t="str">
        <f>IFERROR(VLOOKUP(Z59,MoveData[],4,FALSE),"")</f>
        <v>Status</v>
      </c>
      <c r="AC59" s="14">
        <v>0</v>
      </c>
      <c r="AD59" s="15">
        <v>100</v>
      </c>
      <c r="AE59" s="13" t="s">
        <v>733</v>
      </c>
      <c r="AF59" t="str">
        <f>IFERROR(VLOOKUP(AE59,MoveData[],3,FALSE),"")</f>
        <v>Dark</v>
      </c>
      <c r="AG59" t="str">
        <f>IFERROR(VLOOKUP(AE59,MoveData[],4,FALSE),"")</f>
        <v>Status</v>
      </c>
      <c r="AH59" s="14">
        <v>0</v>
      </c>
      <c r="AI59" s="15">
        <v>100</v>
      </c>
      <c r="AJ59" s="13" t="s">
        <v>876</v>
      </c>
      <c r="AK59" s="13" t="s">
        <v>831</v>
      </c>
    </row>
    <row r="60" spans="1:37">
      <c r="A60" s="13" t="s">
        <v>725</v>
      </c>
      <c r="B60" s="13" t="s">
        <v>729</v>
      </c>
      <c r="C60" s="13">
        <v>2</v>
      </c>
      <c r="D60" s="13">
        <v>2</v>
      </c>
      <c r="E60" s="13" t="s">
        <v>727</v>
      </c>
      <c r="F60" s="13" t="s">
        <v>53</v>
      </c>
      <c r="G60" s="13" t="s">
        <v>20</v>
      </c>
      <c r="H60" s="18">
        <v>83</v>
      </c>
      <c r="I60" s="18">
        <v>106</v>
      </c>
      <c r="J60" s="18">
        <v>65</v>
      </c>
      <c r="K60" s="18">
        <v>86</v>
      </c>
      <c r="L60" s="18">
        <v>65</v>
      </c>
      <c r="M60" s="18">
        <v>85</v>
      </c>
      <c r="N60" s="18">
        <v>43</v>
      </c>
      <c r="O60" s="18" t="s">
        <v>820</v>
      </c>
      <c r="P60" s="13" t="s">
        <v>467</v>
      </c>
      <c r="Q60" t="str">
        <f>IFERROR(VLOOKUP(P60,MoveData[],3,FALSE),"")</f>
        <v>Poison</v>
      </c>
      <c r="R60" t="str">
        <f>IFERROR(VLOOKUP(P60,MoveData[],4,FALSE),"")</f>
        <v>Physical</v>
      </c>
      <c r="S60" s="14">
        <v>80</v>
      </c>
      <c r="T60" s="15">
        <v>100</v>
      </c>
      <c r="U60" s="13" t="s">
        <v>632</v>
      </c>
      <c r="V60" t="str">
        <f>IFERROR(VLOOKUP(U60,MoveData[],3,FALSE),"")</f>
        <v>Poison</v>
      </c>
      <c r="W60" t="str">
        <f>IFERROR(VLOOKUP(U60,MoveData[],4,FALSE),"")</f>
        <v>Special</v>
      </c>
      <c r="X60" s="14">
        <v>65</v>
      </c>
      <c r="Y60" s="15">
        <v>100</v>
      </c>
      <c r="Z60" s="13" t="s">
        <v>595</v>
      </c>
      <c r="AA60" t="str">
        <f>IFERROR(VLOOKUP(Z60,MoveData[],3,FALSE),"")</f>
        <v>Dark</v>
      </c>
      <c r="AB60" t="str">
        <f>IFERROR(VLOOKUP(Z60,MoveData[],4,FALSE),"")</f>
        <v>Physical</v>
      </c>
      <c r="AC60" s="14">
        <v>70</v>
      </c>
      <c r="AD60" s="15">
        <v>100</v>
      </c>
      <c r="AE60" s="13" t="s">
        <v>719</v>
      </c>
      <c r="AF60" t="str">
        <f>IFERROR(VLOOKUP(AE60,MoveData[],3,FALSE),"")</f>
        <v>Normal</v>
      </c>
      <c r="AG60" t="str">
        <f>IFERROR(VLOOKUP(AE60,MoveData[],4,FALSE),"")</f>
        <v>Status</v>
      </c>
      <c r="AH60" s="14">
        <v>0</v>
      </c>
      <c r="AI60" s="15">
        <v>85</v>
      </c>
      <c r="AJ60" s="13" t="s">
        <v>851</v>
      </c>
      <c r="AK60" s="13" t="s">
        <v>831</v>
      </c>
    </row>
    <row r="61" spans="1:37">
      <c r="A61" s="13" t="s">
        <v>725</v>
      </c>
      <c r="B61" s="13" t="s">
        <v>729</v>
      </c>
      <c r="C61" s="13">
        <v>2</v>
      </c>
      <c r="D61" s="13">
        <v>3</v>
      </c>
      <c r="E61" s="13" t="s">
        <v>734</v>
      </c>
      <c r="F61" s="13" t="s">
        <v>38</v>
      </c>
      <c r="G61" s="13" t="s">
        <v>20</v>
      </c>
      <c r="H61" s="18">
        <v>65</v>
      </c>
      <c r="I61" s="18">
        <v>90</v>
      </c>
      <c r="J61" s="18">
        <v>115</v>
      </c>
      <c r="K61" s="18">
        <v>45</v>
      </c>
      <c r="L61" s="18">
        <v>115</v>
      </c>
      <c r="M61" s="18">
        <v>58</v>
      </c>
      <c r="N61" s="18">
        <v>43</v>
      </c>
      <c r="O61" s="18" t="s">
        <v>820</v>
      </c>
      <c r="P61" s="13" t="s">
        <v>187</v>
      </c>
      <c r="Q61" t="str">
        <f>IFERROR(VLOOKUP(P61,MoveData[],3,FALSE),"")</f>
        <v>Fighting</v>
      </c>
      <c r="R61" t="str">
        <f>IFERROR(VLOOKUP(P61,MoveData[],4,FALSE),"")</f>
        <v>Physical</v>
      </c>
      <c r="S61" s="14">
        <v>75</v>
      </c>
      <c r="T61" s="15">
        <v>100</v>
      </c>
      <c r="U61" s="13" t="s">
        <v>37</v>
      </c>
      <c r="V61" t="str">
        <f>IFERROR(VLOOKUP(U61,MoveData[],3,FALSE),"")</f>
        <v>Dark</v>
      </c>
      <c r="W61" t="str">
        <f>IFERROR(VLOOKUP(U61,MoveData[],4,FALSE),"")</f>
        <v>Physical</v>
      </c>
      <c r="X61" s="14">
        <v>80</v>
      </c>
      <c r="Y61" s="15">
        <v>100</v>
      </c>
      <c r="Z61" s="13" t="s">
        <v>700</v>
      </c>
      <c r="AA61" t="str">
        <f>IFERROR(VLOOKUP(Z61,MoveData[],3,FALSE),"")</f>
        <v>Normal</v>
      </c>
      <c r="AB61" t="str">
        <f>IFERROR(VLOOKUP(Z61,MoveData[],4,FALSE),"")</f>
        <v>Status</v>
      </c>
      <c r="AC61" s="14">
        <v>0</v>
      </c>
      <c r="AD61" s="15">
        <v>100</v>
      </c>
      <c r="AE61" s="13" t="s">
        <v>700</v>
      </c>
      <c r="AF61" t="str">
        <f>IFERROR(VLOOKUP(AE61,MoveData[],3,FALSE),"")</f>
        <v>Normal</v>
      </c>
      <c r="AG61" t="str">
        <f>IFERROR(VLOOKUP(AE61,MoveData[],4,FALSE),"")</f>
        <v>Status</v>
      </c>
      <c r="AH61" s="14">
        <v>0</v>
      </c>
      <c r="AI61" s="15">
        <v>100</v>
      </c>
      <c r="AJ61" s="13" t="s">
        <v>852</v>
      </c>
      <c r="AK61" s="13" t="s">
        <v>831</v>
      </c>
    </row>
    <row r="62" spans="1:37">
      <c r="A62" s="13" t="s">
        <v>725</v>
      </c>
      <c r="B62" s="13" t="s">
        <v>729</v>
      </c>
      <c r="C62" s="13">
        <v>2</v>
      </c>
      <c r="D62" s="13">
        <v>4</v>
      </c>
      <c r="E62" s="13" t="s">
        <v>735</v>
      </c>
      <c r="F62" s="13" t="s">
        <v>41</v>
      </c>
      <c r="G62" s="13" t="s">
        <v>38</v>
      </c>
      <c r="H62" s="18">
        <v>58</v>
      </c>
      <c r="I62" s="18">
        <v>95</v>
      </c>
      <c r="J62" s="18">
        <v>58</v>
      </c>
      <c r="K62" s="18">
        <v>70</v>
      </c>
      <c r="L62" s="18">
        <v>58</v>
      </c>
      <c r="M62" s="18">
        <v>97</v>
      </c>
      <c r="N62" s="18">
        <v>44</v>
      </c>
      <c r="O62" s="18" t="s">
        <v>820</v>
      </c>
      <c r="P62" s="13" t="s">
        <v>493</v>
      </c>
      <c r="Q62" t="str">
        <f>IFERROR(VLOOKUP(P62,MoveData[],3,FALSE),"")</f>
        <v>Normal</v>
      </c>
      <c r="R62" t="str">
        <f>IFERROR(VLOOKUP(P62,MoveData[],4,FALSE),"")</f>
        <v>Physical</v>
      </c>
      <c r="S62" s="14">
        <v>40</v>
      </c>
      <c r="T62" s="15">
        <v>100</v>
      </c>
      <c r="U62" s="13" t="s">
        <v>130</v>
      </c>
      <c r="V62" t="str">
        <f>IFERROR(VLOOKUP(U62,MoveData[],3,FALSE),"")</f>
        <v>Electric</v>
      </c>
      <c r="W62" t="str">
        <f>IFERROR(VLOOKUP(U62,MoveData[],4,FALSE),"")</f>
        <v>Physical</v>
      </c>
      <c r="X62" s="14">
        <v>65</v>
      </c>
      <c r="Y62" s="15">
        <v>100</v>
      </c>
      <c r="Z62" s="13" t="s">
        <v>106</v>
      </c>
      <c r="AA62" t="str">
        <f>IFERROR(VLOOKUP(Z62,MoveData[],3,FALSE),"")</f>
        <v>Dark</v>
      </c>
      <c r="AB62" t="str">
        <f>IFERROR(VLOOKUP(Z62,MoveData[],4,FALSE),"")</f>
        <v>Physical</v>
      </c>
      <c r="AC62" s="14">
        <v>60</v>
      </c>
      <c r="AD62" s="15">
        <v>100</v>
      </c>
      <c r="AE62" s="13" t="s">
        <v>733</v>
      </c>
      <c r="AF62" t="str">
        <f>IFERROR(VLOOKUP(AE62,MoveData[],3,FALSE),"")</f>
        <v>Dark</v>
      </c>
      <c r="AG62" t="str">
        <f>IFERROR(VLOOKUP(AE62,MoveData[],4,FALSE),"")</f>
        <v>Status</v>
      </c>
      <c r="AH62" s="14">
        <v>0</v>
      </c>
      <c r="AI62" s="15">
        <v>100</v>
      </c>
      <c r="AJ62" s="13" t="s">
        <v>878</v>
      </c>
      <c r="AK62" s="13" t="s">
        <v>839</v>
      </c>
    </row>
    <row r="63" spans="1:37">
      <c r="A63" s="13" t="s">
        <v>71</v>
      </c>
      <c r="B63" s="13" t="s">
        <v>99</v>
      </c>
      <c r="C63" s="13">
        <v>2</v>
      </c>
      <c r="D63" s="13">
        <v>1</v>
      </c>
      <c r="E63" s="13" t="s">
        <v>100</v>
      </c>
      <c r="F63" s="13" t="s">
        <v>21</v>
      </c>
      <c r="G63" s="13" t="s">
        <v>34</v>
      </c>
      <c r="H63" s="18">
        <v>75</v>
      </c>
      <c r="I63" s="18">
        <v>125</v>
      </c>
      <c r="J63" s="18">
        <v>140</v>
      </c>
      <c r="K63" s="18">
        <v>60</v>
      </c>
      <c r="L63" s="18">
        <v>90</v>
      </c>
      <c r="M63" s="18">
        <v>40</v>
      </c>
      <c r="N63" s="18">
        <v>51</v>
      </c>
      <c r="O63" s="18" t="s">
        <v>820</v>
      </c>
      <c r="P63" s="13" t="s">
        <v>101</v>
      </c>
      <c r="Q63" t="str">
        <f>IFERROR(VLOOKUP(P63,MoveData[],3,FALSE),"")</f>
        <v>Bug</v>
      </c>
      <c r="R63" t="str">
        <f>IFERROR(VLOOKUP(P63,MoveData[],4,FALSE),"")</f>
        <v>Physical</v>
      </c>
      <c r="S63" s="14">
        <v>90</v>
      </c>
      <c r="T63" s="15">
        <v>100</v>
      </c>
      <c r="U63" s="13" t="s">
        <v>102</v>
      </c>
      <c r="V63" t="str">
        <f>IFERROR(VLOOKUP(U63,MoveData[],3,FALSE),"")</f>
        <v>Water</v>
      </c>
      <c r="W63" t="str">
        <f>IFERROR(VLOOKUP(U63,MoveData[],4,FALSE),"")</f>
        <v>Physical</v>
      </c>
      <c r="X63" s="14">
        <v>85</v>
      </c>
      <c r="Y63" s="15">
        <v>100</v>
      </c>
      <c r="Z63" s="13" t="s">
        <v>26</v>
      </c>
      <c r="AA63" t="str">
        <f>IFERROR(VLOOKUP(Z63,MoveData[],3,FALSE),"")</f>
        <v>Normal</v>
      </c>
      <c r="AB63" t="str">
        <f>IFERROR(VLOOKUP(Z63,MoveData[],4,FALSE),"")</f>
        <v>Status</v>
      </c>
      <c r="AC63" s="14">
        <v>0</v>
      </c>
      <c r="AD63" s="15">
        <v>100</v>
      </c>
      <c r="AE63" s="13" t="s">
        <v>103</v>
      </c>
      <c r="AF63" t="str">
        <f>IFERROR(VLOOKUP(AE63,MoveData[],3,FALSE),"")</f>
        <v>Ghost</v>
      </c>
      <c r="AG63" t="str">
        <f>IFERROR(VLOOKUP(AE63,MoveData[],4,FALSE),"")</f>
        <v>Physical</v>
      </c>
      <c r="AH63" s="14">
        <v>70</v>
      </c>
      <c r="AI63" s="15">
        <v>100</v>
      </c>
      <c r="AJ63" s="13" t="s">
        <v>879</v>
      </c>
      <c r="AK63" s="13" t="s">
        <v>839</v>
      </c>
    </row>
    <row r="64" spans="1:37">
      <c r="A64" s="13" t="s">
        <v>71</v>
      </c>
      <c r="B64" s="13" t="s">
        <v>99</v>
      </c>
      <c r="C64" s="13">
        <v>2</v>
      </c>
      <c r="D64" s="13">
        <v>2</v>
      </c>
      <c r="E64" s="13" t="s">
        <v>111</v>
      </c>
      <c r="F64" s="13" t="s">
        <v>34</v>
      </c>
      <c r="G64" s="13"/>
      <c r="H64" s="18">
        <v>80</v>
      </c>
      <c r="I64" s="18">
        <v>92</v>
      </c>
      <c r="J64" s="18">
        <v>65</v>
      </c>
      <c r="K64" s="18">
        <v>65</v>
      </c>
      <c r="L64" s="18">
        <v>80</v>
      </c>
      <c r="M64" s="18">
        <v>68</v>
      </c>
      <c r="N64" s="18">
        <v>52</v>
      </c>
      <c r="O64" s="18" t="s">
        <v>820</v>
      </c>
      <c r="P64" s="13" t="s">
        <v>112</v>
      </c>
      <c r="Q64" t="str">
        <f>IFERROR(VLOOKUP(P64,MoveData[],3,FALSE),"")</f>
        <v>Steel</v>
      </c>
      <c r="R64" t="str">
        <f>IFERROR(VLOOKUP(P64,MoveData[],4,FALSE),"")</f>
        <v>Physical</v>
      </c>
      <c r="S64" s="14">
        <v>70</v>
      </c>
      <c r="T64" s="15">
        <v>100</v>
      </c>
      <c r="U64" s="13" t="s">
        <v>113</v>
      </c>
      <c r="V64" t="str">
        <f>IFERROR(VLOOKUP(U64,MoveData[],3,FALSE),"")</f>
        <v>Bug</v>
      </c>
      <c r="W64" t="str">
        <f>IFERROR(VLOOKUP(U64,MoveData[],4,FALSE),"")</f>
        <v>Physical</v>
      </c>
      <c r="X64" s="14">
        <v>120</v>
      </c>
      <c r="Y64" s="15">
        <v>85</v>
      </c>
      <c r="Z64" s="13" t="s">
        <v>114</v>
      </c>
      <c r="AA64" t="str">
        <f>IFERROR(VLOOKUP(Z64,MoveData[],3,FALSE),"")</f>
        <v>Water</v>
      </c>
      <c r="AB64" t="str">
        <f>IFERROR(VLOOKUP(Z64,MoveData[],4,FALSE),"")</f>
        <v>Status</v>
      </c>
      <c r="AC64" s="14">
        <v>0</v>
      </c>
      <c r="AD64" s="15">
        <v>100</v>
      </c>
      <c r="AE64" s="13" t="s">
        <v>36</v>
      </c>
      <c r="AF64" t="str">
        <f>IFERROR(VLOOKUP(AE64,MoveData[],3,FALSE),"")</f>
        <v>Water</v>
      </c>
      <c r="AG64" t="str">
        <f>IFERROR(VLOOKUP(AE64,MoveData[],4,FALSE),"")</f>
        <v>Physical</v>
      </c>
      <c r="AH64" s="14">
        <v>80</v>
      </c>
      <c r="AI64" s="15">
        <v>100</v>
      </c>
      <c r="AJ64" s="13" t="s">
        <v>854</v>
      </c>
      <c r="AK64" s="13" t="s">
        <v>837</v>
      </c>
    </row>
    <row r="65" spans="1:37">
      <c r="A65" s="13" t="s">
        <v>71</v>
      </c>
      <c r="B65" s="13" t="s">
        <v>99</v>
      </c>
      <c r="C65" s="13">
        <v>2</v>
      </c>
      <c r="D65" s="13">
        <v>3</v>
      </c>
      <c r="E65" s="13" t="s">
        <v>116</v>
      </c>
      <c r="F65" s="13" t="s">
        <v>34</v>
      </c>
      <c r="G65" s="13" t="s">
        <v>35</v>
      </c>
      <c r="H65" s="18">
        <v>60</v>
      </c>
      <c r="I65" s="18">
        <v>50</v>
      </c>
      <c r="J65" s="18">
        <v>100</v>
      </c>
      <c r="K65" s="18">
        <v>95</v>
      </c>
      <c r="L65" s="18">
        <v>70</v>
      </c>
      <c r="M65" s="18">
        <v>65</v>
      </c>
      <c r="N65" s="18">
        <v>51</v>
      </c>
      <c r="O65" s="18" t="s">
        <v>820</v>
      </c>
      <c r="P65" s="13" t="s">
        <v>118</v>
      </c>
      <c r="Q65" t="str">
        <f>IFERROR(VLOOKUP(P65,MoveData[],3,FALSE),"")</f>
        <v>Flying</v>
      </c>
      <c r="R65" t="str">
        <f>IFERROR(VLOOKUP(P65,MoveData[],4,FALSE),"")</f>
        <v>Status</v>
      </c>
      <c r="S65" s="14">
        <v>0</v>
      </c>
      <c r="T65" s="15">
        <v>100</v>
      </c>
      <c r="U65" s="13" t="s">
        <v>119</v>
      </c>
      <c r="V65" t="str">
        <f>IFERROR(VLOOKUP(U65,MoveData[],3,FALSE),"")</f>
        <v>Flying</v>
      </c>
      <c r="W65" t="str">
        <f>IFERROR(VLOOKUP(U65,MoveData[],4,FALSE),"")</f>
        <v>Status</v>
      </c>
      <c r="X65" s="14">
        <v>0</v>
      </c>
      <c r="Y65" s="15">
        <v>100</v>
      </c>
      <c r="Z65" s="13" t="s">
        <v>73</v>
      </c>
      <c r="AA65" t="str">
        <f>IFERROR(VLOOKUP(Z65,MoveData[],3,FALSE),"")</f>
        <v>Water</v>
      </c>
      <c r="AB65" t="str">
        <f>IFERROR(VLOOKUP(Z65,MoveData[],4,FALSE),"")</f>
        <v>Special</v>
      </c>
      <c r="AC65" s="14">
        <v>60</v>
      </c>
      <c r="AD65" s="15">
        <v>100</v>
      </c>
      <c r="AE65" s="13" t="s">
        <v>120</v>
      </c>
      <c r="AF65" t="str">
        <f>IFERROR(VLOOKUP(AE65,MoveData[],3,FALSE),"")</f>
        <v>Flying</v>
      </c>
      <c r="AG65" t="str">
        <f>IFERROR(VLOOKUP(AE65,MoveData[],4,FALSE),"")</f>
        <v>Special</v>
      </c>
      <c r="AH65" s="14">
        <v>75</v>
      </c>
      <c r="AI65" s="15">
        <v>95</v>
      </c>
      <c r="AJ65" s="13" t="s">
        <v>880</v>
      </c>
      <c r="AK65" s="13" t="s">
        <v>831</v>
      </c>
    </row>
    <row r="66" spans="1:37">
      <c r="A66" s="13" t="s">
        <v>71</v>
      </c>
      <c r="B66" s="13" t="s">
        <v>99</v>
      </c>
      <c r="C66" s="13">
        <v>2</v>
      </c>
      <c r="D66" s="13">
        <v>4</v>
      </c>
      <c r="E66" s="13" t="s">
        <v>117</v>
      </c>
      <c r="F66" s="13" t="s">
        <v>34</v>
      </c>
      <c r="G66" s="13"/>
      <c r="H66" s="18">
        <v>61</v>
      </c>
      <c r="I66" s="18">
        <v>123</v>
      </c>
      <c r="J66" s="18">
        <v>60</v>
      </c>
      <c r="K66" s="18">
        <v>60</v>
      </c>
      <c r="L66" s="18">
        <v>50</v>
      </c>
      <c r="M66" s="18">
        <v>136</v>
      </c>
      <c r="N66" s="18">
        <v>52</v>
      </c>
      <c r="O66" s="18" t="s">
        <v>820</v>
      </c>
      <c r="P66" s="13" t="s">
        <v>102</v>
      </c>
      <c r="Q66" t="str">
        <f>IFERROR(VLOOKUP(P66,MoveData[],3,FALSE),"")</f>
        <v>Water</v>
      </c>
      <c r="R66" t="str">
        <f>IFERROR(VLOOKUP(P66,MoveData[],4,FALSE),"")</f>
        <v>Physical</v>
      </c>
      <c r="S66" s="14">
        <v>85</v>
      </c>
      <c r="T66" s="15">
        <v>100</v>
      </c>
      <c r="U66" s="13" t="s">
        <v>121</v>
      </c>
      <c r="V66" t="str">
        <f>IFERROR(VLOOKUP(U66,MoveData[],3,FALSE),"")</f>
        <v>Dark</v>
      </c>
      <c r="W66" t="str">
        <f>IFERROR(VLOOKUP(U66,MoveData[],4,FALSE),"")</f>
        <v>Physical</v>
      </c>
      <c r="X66" s="14">
        <v>80</v>
      </c>
      <c r="Y66" s="15">
        <v>100</v>
      </c>
      <c r="Z66" s="13" t="s">
        <v>39</v>
      </c>
      <c r="AA66" t="str">
        <f>IFERROR(VLOOKUP(Z66,MoveData[],3,FALSE),"")</f>
        <v>Ice</v>
      </c>
      <c r="AB66" t="str">
        <f>IFERROR(VLOOKUP(Z66,MoveData[],4,FALSE),"")</f>
        <v>Physical</v>
      </c>
      <c r="AC66" s="14">
        <v>65</v>
      </c>
      <c r="AD66" s="15">
        <v>95</v>
      </c>
      <c r="AE66" s="13" t="s">
        <v>122</v>
      </c>
      <c r="AF66" t="str">
        <f>IFERROR(VLOOKUP(AE66,MoveData[],3,FALSE),"")</f>
        <v>Ground</v>
      </c>
      <c r="AG66" t="str">
        <f>IFERROR(VLOOKUP(AE66,MoveData[],4,FALSE),"")</f>
        <v>Physical</v>
      </c>
      <c r="AH66" s="14">
        <v>80</v>
      </c>
      <c r="AI66" s="15">
        <v>95</v>
      </c>
      <c r="AJ66" s="13" t="s">
        <v>854</v>
      </c>
      <c r="AK66" s="13" t="s">
        <v>837</v>
      </c>
    </row>
    <row r="67" spans="1:37">
      <c r="A67" s="13" t="s">
        <v>71</v>
      </c>
      <c r="B67" s="13" t="s">
        <v>99</v>
      </c>
      <c r="C67" s="13">
        <v>2</v>
      </c>
      <c r="D67" s="13">
        <v>5</v>
      </c>
      <c r="E67" s="13" t="s">
        <v>108</v>
      </c>
      <c r="F67" s="13" t="s">
        <v>34</v>
      </c>
      <c r="G67" s="13" t="s">
        <v>25</v>
      </c>
      <c r="H67" s="18">
        <v>90</v>
      </c>
      <c r="I67" s="18">
        <v>115</v>
      </c>
      <c r="J67" s="18">
        <v>90</v>
      </c>
      <c r="K67" s="18">
        <v>48</v>
      </c>
      <c r="L67" s="18">
        <v>68</v>
      </c>
      <c r="M67" s="18">
        <v>74</v>
      </c>
      <c r="N67" s="18">
        <v>53</v>
      </c>
      <c r="O67" s="18" t="s">
        <v>820</v>
      </c>
      <c r="P67" s="13" t="s">
        <v>123</v>
      </c>
      <c r="Q67" t="s">
        <v>34</v>
      </c>
      <c r="R67" t="s">
        <v>31</v>
      </c>
      <c r="S67" s="14">
        <v>130</v>
      </c>
      <c r="T67" s="15">
        <v>100</v>
      </c>
      <c r="U67" s="13" t="s">
        <v>115</v>
      </c>
      <c r="V67" t="s">
        <v>38</v>
      </c>
      <c r="W67" t="s">
        <v>31</v>
      </c>
      <c r="X67" s="14">
        <v>130</v>
      </c>
      <c r="Y67" s="15">
        <v>100</v>
      </c>
      <c r="Z67" s="13" t="s">
        <v>115</v>
      </c>
      <c r="AA67" t="s">
        <v>38</v>
      </c>
      <c r="AB67" t="s">
        <v>31</v>
      </c>
      <c r="AC67" s="14">
        <v>130</v>
      </c>
      <c r="AD67" s="15">
        <v>100</v>
      </c>
      <c r="AE67" s="13" t="s">
        <v>124</v>
      </c>
      <c r="AF67" t="s">
        <v>25</v>
      </c>
      <c r="AG67" t="s">
        <v>31</v>
      </c>
      <c r="AH67" s="14">
        <v>150</v>
      </c>
      <c r="AI67" s="15">
        <v>100</v>
      </c>
      <c r="AJ67" s="13" t="s">
        <v>854</v>
      </c>
      <c r="AK67" s="13" t="s">
        <v>831</v>
      </c>
    </row>
    <row r="68" spans="1:37">
      <c r="A68" s="13" t="s">
        <v>765</v>
      </c>
      <c r="B68" s="13" t="s">
        <v>99</v>
      </c>
      <c r="C68" s="13">
        <v>2</v>
      </c>
      <c r="D68" s="13">
        <v>1</v>
      </c>
      <c r="E68" s="13" t="s">
        <v>771</v>
      </c>
      <c r="F68" s="13" t="s">
        <v>19</v>
      </c>
      <c r="G68" s="13"/>
      <c r="H68" s="18">
        <v>70</v>
      </c>
      <c r="I68" s="18">
        <v>85</v>
      </c>
      <c r="J68" s="18">
        <v>140</v>
      </c>
      <c r="K68" s="18">
        <v>85</v>
      </c>
      <c r="L68" s="18">
        <v>70</v>
      </c>
      <c r="M68" s="18">
        <v>20</v>
      </c>
      <c r="N68" s="18">
        <v>53</v>
      </c>
      <c r="O68" s="18" t="s">
        <v>820</v>
      </c>
      <c r="P68" s="13" t="s">
        <v>385</v>
      </c>
      <c r="Q68" t="str">
        <f>IFERROR(VLOOKUP(P68,MoveData[],3,FALSE),"")</f>
        <v>Fire</v>
      </c>
      <c r="R68" t="str">
        <f>IFERROR(VLOOKUP(P68,MoveData[],4,FALSE),"")</f>
        <v>Special</v>
      </c>
      <c r="S68" s="14">
        <v>80</v>
      </c>
      <c r="T68" s="15">
        <v>100</v>
      </c>
      <c r="U68" s="13" t="s">
        <v>563</v>
      </c>
      <c r="V68" t="str">
        <f>IFERROR(VLOOKUP(U68,MoveData[],3,FALSE),"")</f>
        <v>Grass</v>
      </c>
      <c r="W68" t="str">
        <f>IFERROR(VLOOKUP(U68,MoveData[],4,FALSE),"")</f>
        <v>Special</v>
      </c>
      <c r="X68" s="14">
        <v>120</v>
      </c>
      <c r="Y68" s="15">
        <v>100</v>
      </c>
      <c r="Z68" s="13" t="s">
        <v>174</v>
      </c>
      <c r="AA68" t="str">
        <f>IFERROR(VLOOKUP(Z68,MoveData[],3,FALSE),"")</f>
        <v>Fighting</v>
      </c>
      <c r="AB68" t="str">
        <f>IFERROR(VLOOKUP(Z68,MoveData[],4,FALSE),"")</f>
        <v>Physical</v>
      </c>
      <c r="AC68" s="14">
        <v>80</v>
      </c>
      <c r="AD68" s="15">
        <v>100</v>
      </c>
      <c r="AE68" s="13" t="s">
        <v>772</v>
      </c>
      <c r="AF68" t="str">
        <f>IFERROR(VLOOKUP(AE68,MoveData[],3,FALSE),"")</f>
        <v/>
      </c>
      <c r="AG68" t="str">
        <f>IFERROR(VLOOKUP(AE68,MoveData[],4,FALSE),"")</f>
        <v/>
      </c>
      <c r="AH68" s="14">
        <v>0</v>
      </c>
      <c r="AI68" s="15">
        <v>100</v>
      </c>
      <c r="AJ68" s="13" t="s">
        <v>881</v>
      </c>
      <c r="AK68" s="13" t="s">
        <v>831</v>
      </c>
    </row>
    <row r="69" spans="1:37">
      <c r="A69" s="13" t="s">
        <v>765</v>
      </c>
      <c r="B69" s="13" t="s">
        <v>99</v>
      </c>
      <c r="C69" s="13">
        <v>2</v>
      </c>
      <c r="D69" s="13">
        <v>2</v>
      </c>
      <c r="E69" s="13" t="s">
        <v>773</v>
      </c>
      <c r="F69" s="13" t="s">
        <v>47</v>
      </c>
      <c r="G69" s="13"/>
      <c r="H69" s="18">
        <v>90</v>
      </c>
      <c r="I69" s="18">
        <v>100</v>
      </c>
      <c r="J69" s="18">
        <v>70</v>
      </c>
      <c r="K69" s="18">
        <v>110</v>
      </c>
      <c r="L69" s="18">
        <v>150</v>
      </c>
      <c r="M69" s="18">
        <v>80</v>
      </c>
      <c r="N69" s="18">
        <v>54</v>
      </c>
      <c r="O69" s="18" t="s">
        <v>820</v>
      </c>
      <c r="P69" s="13" t="s">
        <v>612</v>
      </c>
      <c r="Q69" t="str">
        <f>IFERROR(VLOOKUP(P69,MoveData[],3,FALSE),"")</f>
        <v>Electric</v>
      </c>
      <c r="R69" t="str">
        <f>IFERROR(VLOOKUP(P69,MoveData[],4,FALSE),"")</f>
        <v>Special</v>
      </c>
      <c r="S69" s="14">
        <v>110</v>
      </c>
      <c r="T69" s="15">
        <v>70</v>
      </c>
      <c r="U69" s="13" t="s">
        <v>599</v>
      </c>
      <c r="V69" t="str">
        <f>IFERROR(VLOOKUP(U69,MoveData[],3,FALSE),"")</f>
        <v>Water</v>
      </c>
      <c r="W69" t="str">
        <f>IFERROR(VLOOKUP(U69,MoveData[],4,FALSE),"")</f>
        <v>Special</v>
      </c>
      <c r="X69" s="14">
        <v>90</v>
      </c>
      <c r="Y69" s="15">
        <v>100</v>
      </c>
      <c r="Z69" s="13" t="s">
        <v>435</v>
      </c>
      <c r="AA69" t="str">
        <f>IFERROR(VLOOKUP(Z69,MoveData[],3,FALSE),"")</f>
        <v>Water</v>
      </c>
      <c r="AB69" t="str">
        <f>IFERROR(VLOOKUP(Z69,MoveData[],4,FALSE),"")</f>
        <v>Special</v>
      </c>
      <c r="AC69" s="14">
        <v>90</v>
      </c>
      <c r="AD69" s="15">
        <v>85</v>
      </c>
      <c r="AE69" s="13" t="s">
        <v>774</v>
      </c>
      <c r="AF69" t="str">
        <f>IFERROR(VLOOKUP(AE69,MoveData[],3,FALSE),"")</f>
        <v>Water</v>
      </c>
      <c r="AG69" t="str">
        <f>IFERROR(VLOOKUP(AE69,MoveData[],4,FALSE),"")</f>
        <v>Status</v>
      </c>
      <c r="AH69" s="14">
        <v>0</v>
      </c>
      <c r="AI69" s="15">
        <v>100</v>
      </c>
      <c r="AJ69" s="13" t="s">
        <v>882</v>
      </c>
      <c r="AK69" s="13" t="s">
        <v>831</v>
      </c>
    </row>
    <row r="70" spans="1:37">
      <c r="A70" s="13" t="s">
        <v>765</v>
      </c>
      <c r="B70" s="13" t="s">
        <v>99</v>
      </c>
      <c r="C70" s="13">
        <v>2</v>
      </c>
      <c r="D70" s="13">
        <v>3</v>
      </c>
      <c r="E70" s="13" t="s">
        <v>775</v>
      </c>
      <c r="F70" s="13" t="s">
        <v>19</v>
      </c>
      <c r="G70" s="13" t="s">
        <v>47</v>
      </c>
      <c r="H70" s="18">
        <v>60</v>
      </c>
      <c r="I70" s="18">
        <v>78</v>
      </c>
      <c r="J70" s="18">
        <v>135</v>
      </c>
      <c r="K70" s="18">
        <v>91</v>
      </c>
      <c r="L70" s="18">
        <v>85</v>
      </c>
      <c r="M70" s="18">
        <v>36</v>
      </c>
      <c r="N70" s="18">
        <v>54</v>
      </c>
      <c r="O70" s="18" t="s">
        <v>820</v>
      </c>
      <c r="P70" s="13" t="s">
        <v>540</v>
      </c>
      <c r="Q70" t="str">
        <f>IFERROR(VLOOKUP(P70,MoveData[],3,FALSE),"")</f>
        <v>Fire</v>
      </c>
      <c r="R70" t="str">
        <f>IFERROR(VLOOKUP(P70,MoveData[],4,FALSE),"")</f>
        <v>Special</v>
      </c>
      <c r="S70" s="14">
        <v>150</v>
      </c>
      <c r="T70" s="15">
        <v>100</v>
      </c>
      <c r="U70" s="13" t="s">
        <v>245</v>
      </c>
      <c r="V70" t="str">
        <f>IFERROR(VLOOKUP(U70,MoveData[],3,FALSE),"")</f>
        <v>Dragon</v>
      </c>
      <c r="W70" t="str">
        <f>IFERROR(VLOOKUP(U70,MoveData[],4,FALSE),"")</f>
        <v>Special</v>
      </c>
      <c r="X70" s="14">
        <v>85</v>
      </c>
      <c r="Y70" s="15">
        <v>100</v>
      </c>
      <c r="Z70" s="13" t="s">
        <v>286</v>
      </c>
      <c r="AA70" t="str">
        <f>IFERROR(VLOOKUP(Z70,MoveData[],3,FALSE),"")</f>
        <v>Fire</v>
      </c>
      <c r="AB70" t="str">
        <f>IFERROR(VLOOKUP(Z70,MoveData[],4,FALSE),"")</f>
        <v>Special</v>
      </c>
      <c r="AC70" s="14">
        <v>110</v>
      </c>
      <c r="AD70" s="15">
        <v>85</v>
      </c>
      <c r="AE70" s="13" t="s">
        <v>776</v>
      </c>
      <c r="AF70" t="str">
        <f>IFERROR(VLOOKUP(AE70,MoveData[],3,FALSE),"")</f>
        <v>Fire</v>
      </c>
      <c r="AG70" t="str">
        <f>IFERROR(VLOOKUP(AE70,MoveData[],4,FALSE),"")</f>
        <v>Status</v>
      </c>
      <c r="AH70" s="14">
        <v>0</v>
      </c>
      <c r="AI70" s="15">
        <v>100</v>
      </c>
      <c r="AJ70" s="13" t="s">
        <v>883</v>
      </c>
      <c r="AK70" s="13" t="s">
        <v>837</v>
      </c>
    </row>
    <row r="71" spans="1:37">
      <c r="A71" s="13" t="s">
        <v>765</v>
      </c>
      <c r="B71" s="13" t="s">
        <v>99</v>
      </c>
      <c r="C71" s="13">
        <v>2</v>
      </c>
      <c r="D71" s="13">
        <v>4</v>
      </c>
      <c r="E71" s="13" t="s">
        <v>767</v>
      </c>
      <c r="F71" s="13" t="s">
        <v>23</v>
      </c>
      <c r="G71" s="13" t="s">
        <v>47</v>
      </c>
      <c r="H71" s="18">
        <v>80</v>
      </c>
      <c r="I71" s="18">
        <v>100</v>
      </c>
      <c r="J71" s="18">
        <v>80</v>
      </c>
      <c r="K71" s="18">
        <v>80</v>
      </c>
      <c r="L71" s="18">
        <v>80</v>
      </c>
      <c r="M71" s="18">
        <v>100</v>
      </c>
      <c r="N71" s="18">
        <v>54</v>
      </c>
      <c r="O71" s="18" t="s">
        <v>820</v>
      </c>
      <c r="P71" s="13" t="s">
        <v>241</v>
      </c>
      <c r="Q71" t="str">
        <f>IFERROR(VLOOKUP(P71,MoveData[],3,FALSE),"")</f>
        <v>Dragon</v>
      </c>
      <c r="R71" t="str">
        <f>IFERROR(VLOOKUP(P71,MoveData[],4,FALSE),"")</f>
        <v>Physical</v>
      </c>
      <c r="S71" s="14">
        <v>80</v>
      </c>
      <c r="T71" s="15">
        <v>100</v>
      </c>
      <c r="U71" s="13" t="s">
        <v>259</v>
      </c>
      <c r="V71" t="str">
        <f>IFERROR(VLOOKUP(U71,MoveData[],3,FALSE),"")</f>
        <v>Ground</v>
      </c>
      <c r="W71" t="str">
        <f>IFERROR(VLOOKUP(U71,MoveData[],4,FALSE),"")</f>
        <v>Physical</v>
      </c>
      <c r="X71" s="14">
        <v>100</v>
      </c>
      <c r="Y71" s="15">
        <v>100</v>
      </c>
      <c r="Z71" s="13" t="s">
        <v>37</v>
      </c>
      <c r="AA71" t="str">
        <f>IFERROR(VLOOKUP(Z71,MoveData[],3,FALSE),"")</f>
        <v>Dark</v>
      </c>
      <c r="AB71" t="str">
        <f>IFERROR(VLOOKUP(Z71,MoveData[],4,FALSE),"")</f>
        <v>Physical</v>
      </c>
      <c r="AC71" s="14">
        <v>80</v>
      </c>
      <c r="AD71" s="15">
        <v>100</v>
      </c>
      <c r="AE71" s="13" t="s">
        <v>777</v>
      </c>
      <c r="AF71" t="str">
        <f>IFERROR(VLOOKUP(AE71,MoveData[],3,FALSE),"")</f>
        <v>Rock</v>
      </c>
      <c r="AG71" t="str">
        <f>IFERROR(VLOOKUP(AE71,MoveData[],4,FALSE),"")</f>
        <v>Status</v>
      </c>
      <c r="AH71" s="14">
        <v>0</v>
      </c>
      <c r="AI71" s="15">
        <v>100</v>
      </c>
      <c r="AJ71" s="13" t="s">
        <v>860</v>
      </c>
      <c r="AK71" s="13" t="s">
        <v>839</v>
      </c>
    </row>
    <row r="72" spans="1:37">
      <c r="A72" s="13" t="s">
        <v>765</v>
      </c>
      <c r="B72" s="13" t="s">
        <v>99</v>
      </c>
      <c r="C72" s="13">
        <v>2</v>
      </c>
      <c r="D72" s="13">
        <v>5</v>
      </c>
      <c r="E72" s="13" t="s">
        <v>813</v>
      </c>
      <c r="F72" s="13" t="s">
        <v>24</v>
      </c>
      <c r="G72" s="13" t="s">
        <v>47</v>
      </c>
      <c r="H72" s="18">
        <v>70</v>
      </c>
      <c r="I72" s="18">
        <v>95</v>
      </c>
      <c r="J72" s="18">
        <v>115</v>
      </c>
      <c r="K72" s="18">
        <v>120</v>
      </c>
      <c r="L72" s="18">
        <v>50</v>
      </c>
      <c r="M72" s="18">
        <v>85</v>
      </c>
      <c r="N72" s="18">
        <v>55</v>
      </c>
      <c r="O72" s="18" t="s">
        <v>820</v>
      </c>
      <c r="P72" s="13" t="s">
        <v>770</v>
      </c>
      <c r="Q72" t="s">
        <v>47</v>
      </c>
      <c r="R72" t="s">
        <v>31</v>
      </c>
      <c r="S72" s="14">
        <v>130</v>
      </c>
      <c r="T72" s="15">
        <v>100</v>
      </c>
      <c r="U72" s="13" t="s">
        <v>408</v>
      </c>
      <c r="V72" t="s">
        <v>20</v>
      </c>
      <c r="W72" t="s">
        <v>31</v>
      </c>
      <c r="X72" s="14">
        <v>130</v>
      </c>
      <c r="Y72" s="15">
        <v>100</v>
      </c>
      <c r="Z72" s="13" t="s">
        <v>124</v>
      </c>
      <c r="AA72" t="s">
        <v>25</v>
      </c>
      <c r="AB72" t="s">
        <v>31</v>
      </c>
      <c r="AC72" s="14">
        <v>130</v>
      </c>
      <c r="AD72" s="15">
        <v>100</v>
      </c>
      <c r="AE72" s="13" t="s">
        <v>415</v>
      </c>
      <c r="AF72" t="s">
        <v>24</v>
      </c>
      <c r="AG72" t="s">
        <v>42</v>
      </c>
      <c r="AH72" s="14">
        <v>130</v>
      </c>
      <c r="AI72" s="15">
        <v>100</v>
      </c>
      <c r="AJ72" s="13" t="s">
        <v>869</v>
      </c>
      <c r="AK72" s="13" t="s">
        <v>831</v>
      </c>
    </row>
    <row r="73" spans="1:37">
      <c r="A73" s="13" t="s">
        <v>670</v>
      </c>
      <c r="B73" s="13" t="s">
        <v>677</v>
      </c>
      <c r="C73" s="13">
        <v>3</v>
      </c>
      <c r="D73" s="13">
        <v>1</v>
      </c>
      <c r="E73" s="13" t="s">
        <v>672</v>
      </c>
      <c r="F73" s="13" t="s">
        <v>32</v>
      </c>
      <c r="G73" s="13"/>
      <c r="H73" s="18">
        <v>42</v>
      </c>
      <c r="I73" s="18">
        <v>40</v>
      </c>
      <c r="J73" s="18">
        <v>55</v>
      </c>
      <c r="K73" s="18">
        <v>40</v>
      </c>
      <c r="L73" s="18">
        <v>45</v>
      </c>
      <c r="M73" s="18">
        <v>48</v>
      </c>
      <c r="N73" s="18">
        <v>11</v>
      </c>
      <c r="O73" s="18" t="s">
        <v>820</v>
      </c>
      <c r="P73" s="13" t="s">
        <v>603</v>
      </c>
      <c r="Q73" t="str">
        <f>IFERROR(VLOOKUP(P73,MoveData[],3,FALSE),"")</f>
        <v>Normal</v>
      </c>
      <c r="R73" t="str">
        <f>IFERROR(VLOOKUP(P73,MoveData[],4,FALSE),"")</f>
        <v>Physical</v>
      </c>
      <c r="S73" s="14">
        <v>40</v>
      </c>
      <c r="T73" s="15">
        <v>100</v>
      </c>
      <c r="U73" s="13" t="s">
        <v>98</v>
      </c>
      <c r="V73" t="str">
        <f>IFERROR(VLOOKUP(U73,MoveData[],3,FALSE),"")</f>
        <v>Normal</v>
      </c>
      <c r="W73" t="str">
        <f>IFERROR(VLOOKUP(U73,MoveData[],4,FALSE),"")</f>
        <v>Status</v>
      </c>
      <c r="X73" s="14">
        <v>0</v>
      </c>
      <c r="Y73" s="15">
        <v>100</v>
      </c>
      <c r="Z73" s="13"/>
      <c r="AA73" t="str">
        <f>IFERROR(VLOOKUP(Z73,MoveData[],3,FALSE),"")</f>
        <v/>
      </c>
      <c r="AB73" t="str">
        <f>IFERROR(VLOOKUP(Z73,MoveData[],4,FALSE),"")</f>
        <v/>
      </c>
      <c r="AC73" s="14">
        <v>0</v>
      </c>
      <c r="AD73" s="15">
        <v>100</v>
      </c>
      <c r="AE73" s="13"/>
      <c r="AF73" t="str">
        <f>IFERROR(VLOOKUP(AE73,MoveData[],3,FALSE),"")</f>
        <v/>
      </c>
      <c r="AG73" t="str">
        <f>IFERROR(VLOOKUP(AE73,MoveData[],4,FALSE),"")</f>
        <v/>
      </c>
      <c r="AH73" s="14">
        <v>0</v>
      </c>
      <c r="AI73" s="15">
        <v>100</v>
      </c>
      <c r="AJ73" s="13" t="s">
        <v>841</v>
      </c>
      <c r="AK73" s="13" t="s">
        <v>837</v>
      </c>
    </row>
    <row r="74" spans="1:37">
      <c r="A74" s="13" t="s">
        <v>670</v>
      </c>
      <c r="B74" s="13" t="s">
        <v>677</v>
      </c>
      <c r="C74" s="13">
        <v>3</v>
      </c>
      <c r="D74" s="13">
        <v>2</v>
      </c>
      <c r="E74" s="13" t="s">
        <v>675</v>
      </c>
      <c r="F74" s="13" t="s">
        <v>35</v>
      </c>
      <c r="G74" s="13"/>
      <c r="H74" s="18">
        <v>38</v>
      </c>
      <c r="I74" s="18">
        <v>47</v>
      </c>
      <c r="J74" s="18">
        <v>35</v>
      </c>
      <c r="K74" s="18">
        <v>33</v>
      </c>
      <c r="L74" s="18">
        <v>35</v>
      </c>
      <c r="M74" s="18">
        <v>57</v>
      </c>
      <c r="N74" s="18">
        <v>12</v>
      </c>
      <c r="O74" s="18" t="s">
        <v>820</v>
      </c>
      <c r="P74" s="13" t="s">
        <v>456</v>
      </c>
      <c r="Q74" t="str">
        <f>IFERROR(VLOOKUP(P74,MoveData[],3,FALSE),"")</f>
        <v>Flying</v>
      </c>
      <c r="R74" t="str">
        <f>IFERROR(VLOOKUP(P74,MoveData[],4,FALSE),"")</f>
        <v>Physical</v>
      </c>
      <c r="S74" s="14">
        <v>35</v>
      </c>
      <c r="T74" s="15">
        <v>100</v>
      </c>
      <c r="U74" s="13" t="s">
        <v>676</v>
      </c>
      <c r="V74" t="str">
        <f>IFERROR(VLOOKUP(U74,MoveData[],3,FALSE),"")</f>
        <v>Normal</v>
      </c>
      <c r="W74" t="str">
        <f>IFERROR(VLOOKUP(U74,MoveData[],4,FALSE),"")</f>
        <v>Status</v>
      </c>
      <c r="X74" s="14">
        <v>0</v>
      </c>
      <c r="Y74" s="15">
        <v>100</v>
      </c>
      <c r="Z74" s="13"/>
      <c r="AA74" t="str">
        <f>IFERROR(VLOOKUP(Z74,MoveData[],3,FALSE),"")</f>
        <v/>
      </c>
      <c r="AB74" t="str">
        <f>IFERROR(VLOOKUP(Z74,MoveData[],4,FALSE),"")</f>
        <v/>
      </c>
      <c r="AC74" s="14">
        <v>0</v>
      </c>
      <c r="AD74" s="15">
        <v>100</v>
      </c>
      <c r="AE74" s="13"/>
      <c r="AF74" t="str">
        <f>IFERROR(VLOOKUP(AE74,MoveData[],3,FALSE),"")</f>
        <v/>
      </c>
      <c r="AG74" t="str">
        <f>IFERROR(VLOOKUP(AE74,MoveData[],4,FALSE),"")</f>
        <v/>
      </c>
      <c r="AH74" s="14">
        <v>0</v>
      </c>
      <c r="AI74" s="15">
        <v>100</v>
      </c>
      <c r="AJ74" s="13" t="s">
        <v>877</v>
      </c>
      <c r="AK74" s="13" t="s">
        <v>837</v>
      </c>
    </row>
    <row r="75" spans="1:37">
      <c r="A75" s="13" t="s">
        <v>670</v>
      </c>
      <c r="B75" s="13" t="s">
        <v>677</v>
      </c>
      <c r="C75" s="13">
        <v>3</v>
      </c>
      <c r="D75" s="13">
        <v>3</v>
      </c>
      <c r="E75" s="13" t="s">
        <v>673</v>
      </c>
      <c r="F75" s="13" t="s">
        <v>43</v>
      </c>
      <c r="G75" s="13"/>
      <c r="H75" s="18">
        <v>50</v>
      </c>
      <c r="I75" s="18">
        <v>65</v>
      </c>
      <c r="J75" s="18">
        <v>50</v>
      </c>
      <c r="K75" s="18">
        <v>40</v>
      </c>
      <c r="L75" s="18">
        <v>40</v>
      </c>
      <c r="M75" s="18">
        <v>65</v>
      </c>
      <c r="N75" s="18">
        <v>14</v>
      </c>
      <c r="O75" s="18" t="s">
        <v>820</v>
      </c>
      <c r="P75" s="13" t="s">
        <v>524</v>
      </c>
      <c r="Q75" t="str">
        <f>IFERROR(VLOOKUP(P75,MoveData[],3,FALSE),"")</f>
        <v>Normal</v>
      </c>
      <c r="R75" t="str">
        <f>IFERROR(VLOOKUP(P75,MoveData[],4,FALSE),"")</f>
        <v>Physical</v>
      </c>
      <c r="S75" s="14">
        <v>40</v>
      </c>
      <c r="T75" s="15">
        <v>100</v>
      </c>
      <c r="U75" s="13" t="s">
        <v>184</v>
      </c>
      <c r="V75" t="str">
        <f>IFERROR(VLOOKUP(U75,MoveData[],3,FALSE),"")</f>
        <v>Grass</v>
      </c>
      <c r="W75" t="str">
        <f>IFERROR(VLOOKUP(U75,MoveData[],4,FALSE),"")</f>
        <v>Physical</v>
      </c>
      <c r="X75" s="14">
        <v>40</v>
      </c>
      <c r="Y75" s="15">
        <v>100</v>
      </c>
      <c r="Z75" s="13" t="s">
        <v>98</v>
      </c>
      <c r="AA75" t="str">
        <f>IFERROR(VLOOKUP(Z75,MoveData[],3,FALSE),"")</f>
        <v>Normal</v>
      </c>
      <c r="AB75" t="str">
        <f>IFERROR(VLOOKUP(Z75,MoveData[],4,FALSE),"")</f>
        <v>Status</v>
      </c>
      <c r="AC75" s="14">
        <v>0</v>
      </c>
      <c r="AD75" s="15">
        <v>100</v>
      </c>
      <c r="AE75" s="13" t="s">
        <v>678</v>
      </c>
      <c r="AF75" t="str">
        <f>IFERROR(VLOOKUP(AE75,MoveData[],3,FALSE),"")</f>
        <v/>
      </c>
      <c r="AG75" t="str">
        <f>IFERROR(VLOOKUP(AE75,MoveData[],4,FALSE),"")</f>
        <v/>
      </c>
      <c r="AH75" s="14">
        <v>0</v>
      </c>
      <c r="AI75" s="15">
        <v>100</v>
      </c>
      <c r="AJ75" s="13" t="s">
        <v>842</v>
      </c>
      <c r="AK75" s="13" t="s">
        <v>843</v>
      </c>
    </row>
    <row r="76" spans="1:37">
      <c r="A76" s="13" t="s">
        <v>725</v>
      </c>
      <c r="B76" s="13" t="s">
        <v>739</v>
      </c>
      <c r="C76" s="13">
        <v>4</v>
      </c>
      <c r="D76" s="13">
        <v>1</v>
      </c>
      <c r="E76" s="13" t="s">
        <v>731</v>
      </c>
      <c r="F76" s="13" t="s">
        <v>38</v>
      </c>
      <c r="G76" s="13"/>
      <c r="H76" s="18">
        <v>64</v>
      </c>
      <c r="I76" s="18">
        <v>88</v>
      </c>
      <c r="J76" s="18">
        <v>50</v>
      </c>
      <c r="K76" s="18">
        <v>88</v>
      </c>
      <c r="L76" s="18">
        <v>50</v>
      </c>
      <c r="M76" s="18">
        <v>106</v>
      </c>
      <c r="N76" s="18">
        <v>59</v>
      </c>
      <c r="O76" s="18" t="s">
        <v>820</v>
      </c>
      <c r="P76" s="13" t="s">
        <v>277</v>
      </c>
      <c r="Q76" t="str">
        <f>IFERROR(VLOOKUP(P76,MoveData[],3,FALSE),"")</f>
        <v>Normal</v>
      </c>
      <c r="R76" t="str">
        <f>IFERROR(VLOOKUP(P76,MoveData[],4,FALSE),"")</f>
        <v>Physical</v>
      </c>
      <c r="S76" s="14">
        <v>40</v>
      </c>
      <c r="T76" s="15">
        <v>100</v>
      </c>
      <c r="U76" s="13" t="s">
        <v>560</v>
      </c>
      <c r="V76" t="str">
        <f>IFERROR(VLOOKUP(U76,MoveData[],3,FALSE),"")</f>
        <v>Dark</v>
      </c>
      <c r="W76" t="str">
        <f>IFERROR(VLOOKUP(U76,MoveData[],4,FALSE),"")</f>
        <v>Special</v>
      </c>
      <c r="X76" s="14">
        <v>55</v>
      </c>
      <c r="Y76" s="15">
        <v>95</v>
      </c>
      <c r="Z76" s="13" t="s">
        <v>732</v>
      </c>
      <c r="AA76" t="str">
        <f>IFERROR(VLOOKUP(Z76,MoveData[],3,FALSE),"")</f>
        <v>Dark</v>
      </c>
      <c r="AB76" t="str">
        <f>IFERROR(VLOOKUP(Z76,MoveData[],4,FALSE),"")</f>
        <v>Status</v>
      </c>
      <c r="AC76" s="14">
        <v>0</v>
      </c>
      <c r="AD76" s="15">
        <v>100</v>
      </c>
      <c r="AE76" s="13" t="s">
        <v>733</v>
      </c>
      <c r="AF76" t="str">
        <f>IFERROR(VLOOKUP(AE76,MoveData[],3,FALSE),"")</f>
        <v>Dark</v>
      </c>
      <c r="AG76" t="str">
        <f>IFERROR(VLOOKUP(AE76,MoveData[],4,FALSE),"")</f>
        <v>Status</v>
      </c>
      <c r="AH76" s="14">
        <v>0</v>
      </c>
      <c r="AI76" s="15">
        <v>100</v>
      </c>
      <c r="AJ76" s="13" t="s">
        <v>876</v>
      </c>
      <c r="AK76" s="13" t="s">
        <v>831</v>
      </c>
    </row>
    <row r="77" spans="1:37">
      <c r="A77" s="13" t="s">
        <v>725</v>
      </c>
      <c r="B77" s="13" t="s">
        <v>739</v>
      </c>
      <c r="C77" s="13">
        <v>4</v>
      </c>
      <c r="D77" s="13">
        <v>2</v>
      </c>
      <c r="E77" s="13" t="s">
        <v>727</v>
      </c>
      <c r="F77" s="13" t="s">
        <v>53</v>
      </c>
      <c r="G77" s="13" t="s">
        <v>20</v>
      </c>
      <c r="H77" s="18">
        <v>83</v>
      </c>
      <c r="I77" s="18">
        <v>106</v>
      </c>
      <c r="J77" s="18">
        <v>65</v>
      </c>
      <c r="K77" s="18">
        <v>86</v>
      </c>
      <c r="L77" s="18">
        <v>65</v>
      </c>
      <c r="M77" s="18">
        <v>85</v>
      </c>
      <c r="N77" s="18">
        <v>59</v>
      </c>
      <c r="O77" s="18" t="s">
        <v>820</v>
      </c>
      <c r="P77" s="13" t="s">
        <v>249</v>
      </c>
      <c r="Q77" t="str">
        <f>IFERROR(VLOOKUP(P77,MoveData[],3,FALSE),"")</f>
        <v>Fighting</v>
      </c>
      <c r="R77" t="str">
        <f>IFERROR(VLOOKUP(P77,MoveData[],4,FALSE),"")</f>
        <v>Physical</v>
      </c>
      <c r="S77" s="14">
        <v>75</v>
      </c>
      <c r="T77" s="15">
        <v>100</v>
      </c>
      <c r="U77" s="13" t="s">
        <v>335</v>
      </c>
      <c r="V77" t="str">
        <f>IFERROR(VLOOKUP(U77,MoveData[],3,FALSE),"")</f>
        <v>Poison</v>
      </c>
      <c r="W77" t="str">
        <f>IFERROR(VLOOKUP(U77,MoveData[],4,FALSE),"")</f>
        <v>Physical</v>
      </c>
      <c r="X77" s="14">
        <v>120</v>
      </c>
      <c r="Y77" s="15">
        <v>80</v>
      </c>
      <c r="Z77" s="13" t="s">
        <v>259</v>
      </c>
      <c r="AA77" t="str">
        <f>IFERROR(VLOOKUP(Z77,MoveData[],3,FALSE),"")</f>
        <v>Ground</v>
      </c>
      <c r="AB77" t="str">
        <f>IFERROR(VLOOKUP(Z77,MoveData[],4,FALSE),"")</f>
        <v>Physical</v>
      </c>
      <c r="AC77" s="14">
        <v>100</v>
      </c>
      <c r="AD77" s="15">
        <v>100</v>
      </c>
      <c r="AE77" s="13" t="s">
        <v>467</v>
      </c>
      <c r="AF77" t="str">
        <f>IFERROR(VLOOKUP(AE77,MoveData[],3,FALSE),"")</f>
        <v>Poison</v>
      </c>
      <c r="AG77" t="str">
        <f>IFERROR(VLOOKUP(AE77,MoveData[],4,FALSE),"")</f>
        <v>Physical</v>
      </c>
      <c r="AH77" s="14">
        <v>80</v>
      </c>
      <c r="AI77" s="15">
        <v>100</v>
      </c>
      <c r="AJ77" s="13" t="s">
        <v>851</v>
      </c>
      <c r="AK77" s="13" t="s">
        <v>831</v>
      </c>
    </row>
    <row r="78" spans="1:37">
      <c r="A78" s="13" t="s">
        <v>725</v>
      </c>
      <c r="B78" s="13" t="s">
        <v>739</v>
      </c>
      <c r="C78" s="13">
        <v>4</v>
      </c>
      <c r="D78" s="13">
        <v>3</v>
      </c>
      <c r="E78" s="13" t="s">
        <v>734</v>
      </c>
      <c r="F78" s="13" t="s">
        <v>38</v>
      </c>
      <c r="G78" s="13" t="s">
        <v>20</v>
      </c>
      <c r="H78" s="18">
        <v>65</v>
      </c>
      <c r="I78" s="18">
        <v>90</v>
      </c>
      <c r="J78" s="18">
        <v>115</v>
      </c>
      <c r="K78" s="18">
        <v>45</v>
      </c>
      <c r="L78" s="18">
        <v>115</v>
      </c>
      <c r="M78" s="18">
        <v>58</v>
      </c>
      <c r="N78" s="18">
        <v>60</v>
      </c>
      <c r="O78" s="18" t="s">
        <v>820</v>
      </c>
      <c r="P78" s="13" t="s">
        <v>366</v>
      </c>
      <c r="Q78" t="str">
        <f>IFERROR(VLOOKUP(P78,MoveData[],3,FALSE),"")</f>
        <v>Ice</v>
      </c>
      <c r="R78" t="str">
        <f>IFERROR(VLOOKUP(P78,MoveData[],4,FALSE),"")</f>
        <v>Physical</v>
      </c>
      <c r="S78" s="14">
        <v>75</v>
      </c>
      <c r="T78" s="15">
        <v>100</v>
      </c>
      <c r="U78" s="13" t="s">
        <v>615</v>
      </c>
      <c r="V78" t="str">
        <f>IFERROR(VLOOKUP(U78,MoveData[],3,FALSE),"")</f>
        <v>Electric</v>
      </c>
      <c r="W78" t="str">
        <f>IFERROR(VLOOKUP(U78,MoveData[],4,FALSE),"")</f>
        <v>Physical</v>
      </c>
      <c r="X78" s="14">
        <v>75</v>
      </c>
      <c r="Y78" s="15">
        <v>100</v>
      </c>
      <c r="Z78" s="13" t="s">
        <v>249</v>
      </c>
      <c r="AA78" t="str">
        <f>IFERROR(VLOOKUP(Z78,MoveData[],3,FALSE),"")</f>
        <v>Fighting</v>
      </c>
      <c r="AB78" t="str">
        <f>IFERROR(VLOOKUP(Z78,MoveData[],4,FALSE),"")</f>
        <v>Physical</v>
      </c>
      <c r="AC78" s="14">
        <v>75</v>
      </c>
      <c r="AD78" s="15">
        <v>100</v>
      </c>
      <c r="AE78" s="13" t="s">
        <v>37</v>
      </c>
      <c r="AF78" t="str">
        <f>IFERROR(VLOOKUP(AE78,MoveData[],3,FALSE),"")</f>
        <v>Dark</v>
      </c>
      <c r="AG78" t="str">
        <f>IFERROR(VLOOKUP(AE78,MoveData[],4,FALSE),"")</f>
        <v>Physical</v>
      </c>
      <c r="AH78" s="14">
        <v>80</v>
      </c>
      <c r="AI78" s="15">
        <v>100</v>
      </c>
      <c r="AJ78" s="13" t="s">
        <v>852</v>
      </c>
      <c r="AK78" s="13" t="s">
        <v>831</v>
      </c>
    </row>
    <row r="79" spans="1:37">
      <c r="A79" s="13" t="s">
        <v>725</v>
      </c>
      <c r="B79" s="13" t="s">
        <v>739</v>
      </c>
      <c r="C79" s="13">
        <v>4</v>
      </c>
      <c r="D79" s="13">
        <v>4</v>
      </c>
      <c r="E79" s="13" t="s">
        <v>735</v>
      </c>
      <c r="F79" s="13" t="s">
        <v>41</v>
      </c>
      <c r="G79" s="13" t="s">
        <v>38</v>
      </c>
      <c r="H79" s="18">
        <v>58</v>
      </c>
      <c r="I79" s="18">
        <v>95</v>
      </c>
      <c r="J79" s="18">
        <v>58</v>
      </c>
      <c r="K79" s="18">
        <v>70</v>
      </c>
      <c r="L79" s="18">
        <v>58</v>
      </c>
      <c r="M79" s="18">
        <v>97</v>
      </c>
      <c r="N79" s="18">
        <v>60</v>
      </c>
      <c r="O79" s="18" t="s">
        <v>820</v>
      </c>
      <c r="P79" s="13" t="s">
        <v>155</v>
      </c>
      <c r="Q79" t="str">
        <f>IFERROR(VLOOKUP(P79,MoveData[],3,FALSE),"")</f>
        <v>Electric</v>
      </c>
      <c r="R79" t="str">
        <f>IFERROR(VLOOKUP(P79,MoveData[],4,FALSE),"")</f>
        <v>Physical</v>
      </c>
      <c r="S79" s="14">
        <v>110</v>
      </c>
      <c r="T79" s="15">
        <v>100</v>
      </c>
      <c r="U79" s="13" t="s">
        <v>529</v>
      </c>
      <c r="V79" t="str">
        <f>IFERROR(VLOOKUP(U79,MoveData[],3,FALSE),"")</f>
        <v>Grass</v>
      </c>
      <c r="W79" t="str">
        <f>IFERROR(VLOOKUP(U79,MoveData[],4,FALSE),"")</f>
        <v>Physical</v>
      </c>
      <c r="X79" s="14">
        <v>80</v>
      </c>
      <c r="Y79" s="15">
        <v>100</v>
      </c>
      <c r="Z79" s="13" t="s">
        <v>493</v>
      </c>
      <c r="AA79" t="str">
        <f>IFERROR(VLOOKUP(Z79,MoveData[],3,FALSE),"")</f>
        <v>Normal</v>
      </c>
      <c r="AB79" t="str">
        <f>IFERROR(VLOOKUP(Z79,MoveData[],4,FALSE),"")</f>
        <v>Physical</v>
      </c>
      <c r="AC79" s="14">
        <v>40</v>
      </c>
      <c r="AD79" s="15">
        <v>100</v>
      </c>
      <c r="AE79" s="13" t="s">
        <v>733</v>
      </c>
      <c r="AF79" t="str">
        <f>IFERROR(VLOOKUP(AE79,MoveData[],3,FALSE),"")</f>
        <v>Dark</v>
      </c>
      <c r="AG79" t="str">
        <f>IFERROR(VLOOKUP(AE79,MoveData[],4,FALSE),"")</f>
        <v>Status</v>
      </c>
      <c r="AH79" s="14">
        <v>0</v>
      </c>
      <c r="AI79" s="15">
        <v>100</v>
      </c>
      <c r="AJ79" s="13" t="s">
        <v>878</v>
      </c>
      <c r="AK79" s="13" t="s">
        <v>839</v>
      </c>
    </row>
    <row r="80" spans="1:37">
      <c r="A80" s="13" t="s">
        <v>725</v>
      </c>
      <c r="B80" s="13" t="s">
        <v>739</v>
      </c>
      <c r="C80" s="13">
        <v>4</v>
      </c>
      <c r="D80" s="13">
        <v>5</v>
      </c>
      <c r="E80" s="13" t="s">
        <v>737</v>
      </c>
      <c r="F80" s="13" t="s">
        <v>38</v>
      </c>
      <c r="G80" s="13" t="s">
        <v>44</v>
      </c>
      <c r="H80" s="18">
        <v>95</v>
      </c>
      <c r="I80" s="18">
        <v>120</v>
      </c>
      <c r="J80" s="18">
        <v>65</v>
      </c>
      <c r="K80" s="18">
        <v>95</v>
      </c>
      <c r="L80" s="18">
        <v>75</v>
      </c>
      <c r="M80" s="18">
        <v>60</v>
      </c>
      <c r="N80" s="18">
        <v>61</v>
      </c>
      <c r="O80" s="18" t="s">
        <v>820</v>
      </c>
      <c r="P80" s="13" t="s">
        <v>572</v>
      </c>
      <c r="Q80" t="str">
        <f>IFERROR(VLOOKUP(P80,MoveData[],3,FALSE),"")</f>
        <v>Fairy</v>
      </c>
      <c r="R80" t="str">
        <f>IFERROR(VLOOKUP(P80,MoveData[],4,FALSE),"")</f>
        <v>Physical</v>
      </c>
      <c r="S80" s="14">
        <v>75</v>
      </c>
      <c r="T80" s="15">
        <v>100</v>
      </c>
      <c r="U80" s="13" t="s">
        <v>224</v>
      </c>
      <c r="V80" t="str">
        <f>IFERROR(VLOOKUP(U80,MoveData[],3,FALSE),"")</f>
        <v>Dark</v>
      </c>
      <c r="W80" t="str">
        <f>IFERROR(VLOOKUP(U80,MoveData[],4,FALSE),"")</f>
        <v>Physical</v>
      </c>
      <c r="X80" s="14">
        <v>85</v>
      </c>
      <c r="Y80" s="15">
        <v>100</v>
      </c>
      <c r="Z80" s="13" t="s">
        <v>464</v>
      </c>
      <c r="AA80" t="str">
        <f>IFERROR(VLOOKUP(Z80,MoveData[],3,FALSE),"")</f>
        <v>Fairy</v>
      </c>
      <c r="AB80" t="str">
        <f>IFERROR(VLOOKUP(Z80,MoveData[],4,FALSE),"")</f>
        <v>Physical</v>
      </c>
      <c r="AC80" s="14">
        <v>90</v>
      </c>
      <c r="AD80" s="15">
        <v>90</v>
      </c>
      <c r="AE80" s="13" t="s">
        <v>717</v>
      </c>
      <c r="AF80" t="str">
        <f>IFERROR(VLOOKUP(AE80,MoveData[],3,FALSE),"")</f>
        <v>Fighting</v>
      </c>
      <c r="AG80" t="str">
        <f>IFERROR(VLOOKUP(AE80,MoveData[],4,FALSE),"")</f>
        <v>Status</v>
      </c>
      <c r="AH80" s="14">
        <v>0</v>
      </c>
      <c r="AI80" s="15">
        <v>100</v>
      </c>
      <c r="AJ80" s="13" t="s">
        <v>884</v>
      </c>
      <c r="AK80" s="13" t="s">
        <v>831</v>
      </c>
    </row>
    <row r="81" spans="1:37">
      <c r="A81" s="13" t="s">
        <v>670</v>
      </c>
      <c r="B81" s="13" t="s">
        <v>679</v>
      </c>
      <c r="C81" s="13">
        <v>4</v>
      </c>
      <c r="D81" s="13">
        <v>1</v>
      </c>
      <c r="E81" s="13" t="s">
        <v>672</v>
      </c>
      <c r="F81" s="13" t="s">
        <v>32</v>
      </c>
      <c r="G81" s="13"/>
      <c r="H81" s="18">
        <v>42</v>
      </c>
      <c r="I81" s="18">
        <v>40</v>
      </c>
      <c r="J81" s="18">
        <v>55</v>
      </c>
      <c r="K81" s="18">
        <v>40</v>
      </c>
      <c r="L81" s="18">
        <v>45</v>
      </c>
      <c r="M81" s="18">
        <v>48</v>
      </c>
      <c r="N81" s="18">
        <v>18</v>
      </c>
      <c r="O81" s="18" t="s">
        <v>820</v>
      </c>
      <c r="P81" s="13" t="s">
        <v>603</v>
      </c>
      <c r="Q81" t="str">
        <f>IFERROR(VLOOKUP(P81,MoveData[],3,FALSE),"")</f>
        <v>Normal</v>
      </c>
      <c r="R81" t="str">
        <f>IFERROR(VLOOKUP(P81,MoveData[],4,FALSE),"")</f>
        <v>Physical</v>
      </c>
      <c r="S81" s="14">
        <v>40</v>
      </c>
      <c r="T81" s="15">
        <v>100</v>
      </c>
      <c r="U81" s="13" t="s">
        <v>97</v>
      </c>
      <c r="V81" t="str">
        <f>IFERROR(VLOOKUP(U81,MoveData[],3,FALSE),"")</f>
        <v>Fighting</v>
      </c>
      <c r="W81" t="str">
        <f>IFERROR(VLOOKUP(U81,MoveData[],4,FALSE),"")</f>
        <v>Physical</v>
      </c>
      <c r="X81" s="14">
        <v>30</v>
      </c>
      <c r="Y81" s="15">
        <v>100</v>
      </c>
      <c r="Z81" s="13" t="s">
        <v>681</v>
      </c>
      <c r="AA81" t="str">
        <f>IFERROR(VLOOKUP(Z81,MoveData[],3,FALSE),"")</f>
        <v>Normal</v>
      </c>
      <c r="AB81" t="str">
        <f>IFERROR(VLOOKUP(Z81,MoveData[],4,FALSE),"")</f>
        <v>Status</v>
      </c>
      <c r="AC81" s="14">
        <v>0</v>
      </c>
      <c r="AD81" s="15">
        <v>100</v>
      </c>
      <c r="AE81" s="13" t="s">
        <v>98</v>
      </c>
      <c r="AF81" t="str">
        <f>IFERROR(VLOOKUP(AE81,MoveData[],3,FALSE),"")</f>
        <v>Normal</v>
      </c>
      <c r="AG81" t="str">
        <f>IFERROR(VLOOKUP(AE81,MoveData[],4,FALSE),"")</f>
        <v>Status</v>
      </c>
      <c r="AH81" s="14">
        <v>0</v>
      </c>
      <c r="AI81" s="15">
        <v>100</v>
      </c>
      <c r="AJ81" s="13" t="s">
        <v>841</v>
      </c>
      <c r="AK81" s="13" t="s">
        <v>837</v>
      </c>
    </row>
    <row r="82" spans="1:37">
      <c r="A82" s="13" t="s">
        <v>670</v>
      </c>
      <c r="B82" s="13" t="s">
        <v>679</v>
      </c>
      <c r="C82" s="13">
        <v>4</v>
      </c>
      <c r="D82" s="13">
        <v>2</v>
      </c>
      <c r="E82" s="13" t="s">
        <v>821</v>
      </c>
      <c r="F82" s="13" t="s">
        <v>35</v>
      </c>
      <c r="G82" s="13"/>
      <c r="H82" s="18">
        <v>68</v>
      </c>
      <c r="I82" s="18">
        <v>67</v>
      </c>
      <c r="J82" s="18">
        <v>55</v>
      </c>
      <c r="K82" s="18">
        <v>43</v>
      </c>
      <c r="L82" s="18">
        <v>55</v>
      </c>
      <c r="M82" s="18">
        <v>77</v>
      </c>
      <c r="N82" s="18">
        <v>19</v>
      </c>
      <c r="O82" s="18" t="s">
        <v>820</v>
      </c>
      <c r="P82" s="13" t="s">
        <v>456</v>
      </c>
      <c r="Q82" t="str">
        <f>IFERROR(VLOOKUP(P82,MoveData[],3,FALSE),"")</f>
        <v>Flying</v>
      </c>
      <c r="R82" t="str">
        <f>IFERROR(VLOOKUP(P82,MoveData[],4,FALSE),"")</f>
        <v>Physical</v>
      </c>
      <c r="S82" s="14">
        <v>35</v>
      </c>
      <c r="T82" s="15">
        <v>100</v>
      </c>
      <c r="U82" s="13" t="s">
        <v>465</v>
      </c>
      <c r="V82" t="str">
        <f>IFERROR(VLOOKUP(U82,MoveData[],3,FALSE),"")</f>
        <v>Flying</v>
      </c>
      <c r="W82" t="str">
        <f>IFERROR(VLOOKUP(U82,MoveData[],4,FALSE),"")</f>
        <v>Physical</v>
      </c>
      <c r="X82" s="14">
        <v>60</v>
      </c>
      <c r="Y82" s="15">
        <v>100</v>
      </c>
      <c r="Z82" s="13" t="s">
        <v>107</v>
      </c>
      <c r="AA82" t="str">
        <f>IFERROR(VLOOKUP(Z82,MoveData[],3,FALSE),"")</f>
        <v>Normal</v>
      </c>
      <c r="AB82" t="str">
        <f>IFERROR(VLOOKUP(Z82,MoveData[],4,FALSE),"")</f>
        <v>Physical</v>
      </c>
      <c r="AC82" s="14">
        <v>15</v>
      </c>
      <c r="AD82" s="15">
        <v>85</v>
      </c>
      <c r="AE82" s="13" t="s">
        <v>676</v>
      </c>
      <c r="AF82" t="str">
        <f>IFERROR(VLOOKUP(AE82,MoveData[],3,FALSE),"")</f>
        <v>Normal</v>
      </c>
      <c r="AG82" t="str">
        <f>IFERROR(VLOOKUP(AE82,MoveData[],4,FALSE),"")</f>
        <v>Status</v>
      </c>
      <c r="AH82" s="14">
        <v>0</v>
      </c>
      <c r="AI82" s="15">
        <v>100</v>
      </c>
      <c r="AJ82" s="13" t="s">
        <v>877</v>
      </c>
      <c r="AK82" s="13" t="s">
        <v>837</v>
      </c>
    </row>
    <row r="83" spans="1:37">
      <c r="A83" s="13" t="s">
        <v>670</v>
      </c>
      <c r="B83" s="13" t="s">
        <v>679</v>
      </c>
      <c r="C83" s="13">
        <v>4</v>
      </c>
      <c r="D83" s="13">
        <v>3</v>
      </c>
      <c r="E83" s="13" t="s">
        <v>688</v>
      </c>
      <c r="F83" s="13" t="s">
        <v>43</v>
      </c>
      <c r="G83" s="13"/>
      <c r="H83" s="18">
        <v>70</v>
      </c>
      <c r="I83" s="18">
        <v>85</v>
      </c>
      <c r="J83" s="18">
        <v>70</v>
      </c>
      <c r="K83" s="18">
        <v>55</v>
      </c>
      <c r="L83" s="18">
        <v>60</v>
      </c>
      <c r="M83" s="18">
        <v>80</v>
      </c>
      <c r="N83" s="18">
        <v>21</v>
      </c>
      <c r="O83" s="18" t="s">
        <v>820</v>
      </c>
      <c r="P83" s="13" t="s">
        <v>60</v>
      </c>
      <c r="Q83" t="str">
        <f>IFERROR(VLOOKUP(P83,MoveData[],3,FALSE),"")</f>
        <v>Normal</v>
      </c>
      <c r="R83" t="str">
        <f>IFERROR(VLOOKUP(P83,MoveData[],4,FALSE),"")</f>
        <v>Special</v>
      </c>
      <c r="S83" s="14">
        <v>60</v>
      </c>
      <c r="T83" s="15">
        <v>100</v>
      </c>
      <c r="U83" s="13" t="s">
        <v>234</v>
      </c>
      <c r="V83" t="str">
        <f>IFERROR(VLOOKUP(U83,MoveData[],3,FALSE),"")</f>
        <v>Normal</v>
      </c>
      <c r="W83" t="str">
        <f>IFERROR(VLOOKUP(U83,MoveData[],4,FALSE),"")</f>
        <v>Physical</v>
      </c>
      <c r="X83" s="14">
        <v>35</v>
      </c>
      <c r="Y83" s="15">
        <v>90</v>
      </c>
      <c r="Z83" s="13" t="s">
        <v>496</v>
      </c>
      <c r="AA83" t="str">
        <f>IFERROR(VLOOKUP(Z83,MoveData[],3,FALSE),"")</f>
        <v>Grass</v>
      </c>
      <c r="AB83" t="str">
        <f>IFERROR(VLOOKUP(Z83,MoveData[],4,FALSE),"")</f>
        <v>Physical</v>
      </c>
      <c r="AC83" s="14">
        <v>55</v>
      </c>
      <c r="AD83" s="15">
        <v>95</v>
      </c>
      <c r="AE83" s="13" t="s">
        <v>682</v>
      </c>
      <c r="AF83" t="str">
        <f>IFERROR(VLOOKUP(AE83,MoveData[],3,FALSE),"")</f>
        <v>Normal</v>
      </c>
      <c r="AG83" t="str">
        <f>IFERROR(VLOOKUP(AE83,MoveData[],4,FALSE),"")</f>
        <v>Status</v>
      </c>
      <c r="AH83" s="14">
        <v>0</v>
      </c>
      <c r="AI83" s="15">
        <v>85</v>
      </c>
      <c r="AJ83" s="13" t="s">
        <v>842</v>
      </c>
      <c r="AK83" s="13" t="s">
        <v>843</v>
      </c>
    </row>
    <row r="84" spans="1:37">
      <c r="A84" s="13" t="s">
        <v>725</v>
      </c>
      <c r="B84" s="13" t="s">
        <v>99</v>
      </c>
      <c r="C84" s="13">
        <v>3</v>
      </c>
      <c r="D84" s="13">
        <v>1</v>
      </c>
      <c r="E84" s="13" t="s">
        <v>731</v>
      </c>
      <c r="F84" s="13" t="s">
        <v>38</v>
      </c>
      <c r="G84" s="13"/>
      <c r="H84" s="18">
        <v>64</v>
      </c>
      <c r="I84" s="18">
        <v>88</v>
      </c>
      <c r="J84" s="18">
        <v>50</v>
      </c>
      <c r="K84" s="18">
        <v>88</v>
      </c>
      <c r="L84" s="18">
        <v>50</v>
      </c>
      <c r="M84" s="18">
        <v>106</v>
      </c>
      <c r="N84" s="18">
        <v>47</v>
      </c>
      <c r="O84" s="18" t="s">
        <v>820</v>
      </c>
      <c r="P84" s="13" t="s">
        <v>277</v>
      </c>
      <c r="Q84" t="str">
        <f>IFERROR(VLOOKUP(P84,MoveData[],3,FALSE),"")</f>
        <v>Normal</v>
      </c>
      <c r="R84" t="str">
        <f>IFERROR(VLOOKUP(P84,MoveData[],4,FALSE),"")</f>
        <v>Physical</v>
      </c>
      <c r="S84" s="14">
        <v>40</v>
      </c>
      <c r="T84" s="15">
        <v>100</v>
      </c>
      <c r="U84" s="13" t="s">
        <v>560</v>
      </c>
      <c r="V84" t="str">
        <f>IFERROR(VLOOKUP(U84,MoveData[],3,FALSE),"")</f>
        <v>Dark</v>
      </c>
      <c r="W84" t="str">
        <f>IFERROR(VLOOKUP(U84,MoveData[],4,FALSE),"")</f>
        <v>Special</v>
      </c>
      <c r="X84" s="14">
        <v>55</v>
      </c>
      <c r="Y84" s="15">
        <v>95</v>
      </c>
      <c r="Z84" s="13" t="s">
        <v>732</v>
      </c>
      <c r="AA84" t="str">
        <f>IFERROR(VLOOKUP(Z84,MoveData[],3,FALSE),"")</f>
        <v>Dark</v>
      </c>
      <c r="AB84" t="str">
        <f>IFERROR(VLOOKUP(Z84,MoveData[],4,FALSE),"")</f>
        <v>Status</v>
      </c>
      <c r="AC84" s="14">
        <v>0</v>
      </c>
      <c r="AD84" s="15">
        <v>100</v>
      </c>
      <c r="AE84" s="13" t="s">
        <v>733</v>
      </c>
      <c r="AF84" t="str">
        <f>IFERROR(VLOOKUP(AE84,MoveData[],3,FALSE),"")</f>
        <v>Dark</v>
      </c>
      <c r="AG84" t="str">
        <f>IFERROR(VLOOKUP(AE84,MoveData[],4,FALSE),"")</f>
        <v>Status</v>
      </c>
      <c r="AH84" s="14">
        <v>0</v>
      </c>
      <c r="AI84" s="15">
        <v>100</v>
      </c>
      <c r="AJ84" s="13" t="s">
        <v>876</v>
      </c>
      <c r="AK84" s="13" t="s">
        <v>831</v>
      </c>
    </row>
    <row r="85" spans="1:37">
      <c r="A85" s="13" t="s">
        <v>725</v>
      </c>
      <c r="B85" s="13" t="s">
        <v>99</v>
      </c>
      <c r="C85" s="13">
        <v>3</v>
      </c>
      <c r="D85" s="13">
        <v>2</v>
      </c>
      <c r="E85" s="13" t="s">
        <v>727</v>
      </c>
      <c r="F85" s="13" t="s">
        <v>53</v>
      </c>
      <c r="G85" s="13" t="s">
        <v>20</v>
      </c>
      <c r="H85" s="18">
        <v>83</v>
      </c>
      <c r="I85" s="18">
        <v>106</v>
      </c>
      <c r="J85" s="18">
        <v>65</v>
      </c>
      <c r="K85" s="18">
        <v>86</v>
      </c>
      <c r="L85" s="18">
        <v>65</v>
      </c>
      <c r="M85" s="18">
        <v>85</v>
      </c>
      <c r="N85" s="18">
        <v>47</v>
      </c>
      <c r="O85" s="18" t="s">
        <v>820</v>
      </c>
      <c r="P85" s="13" t="s">
        <v>632</v>
      </c>
      <c r="Q85" t="str">
        <f>IFERROR(VLOOKUP(P85,MoveData[],3,FALSE),"")</f>
        <v>Poison</v>
      </c>
      <c r="R85" t="str">
        <f>IFERROR(VLOOKUP(P85,MoveData[],4,FALSE),"")</f>
        <v>Special</v>
      </c>
      <c r="S85" s="14">
        <v>65</v>
      </c>
      <c r="T85" s="15">
        <v>100</v>
      </c>
      <c r="U85" s="13" t="s">
        <v>595</v>
      </c>
      <c r="V85" t="str">
        <f>IFERROR(VLOOKUP(U85,MoveData[],3,FALSE),"")</f>
        <v>Dark</v>
      </c>
      <c r="W85" t="str">
        <f>IFERROR(VLOOKUP(U85,MoveData[],4,FALSE),"")</f>
        <v>Physical</v>
      </c>
      <c r="X85" s="14">
        <v>70</v>
      </c>
      <c r="Y85" s="15">
        <v>100</v>
      </c>
      <c r="Z85" s="13" t="s">
        <v>736</v>
      </c>
      <c r="AA85" t="str">
        <f>IFERROR(VLOOKUP(Z85,MoveData[],3,FALSE),"")</f>
        <v>Poison</v>
      </c>
      <c r="AB85" t="str">
        <f>IFERROR(VLOOKUP(Z85,MoveData[],4,FALSE),"")</f>
        <v>Status</v>
      </c>
      <c r="AC85" s="14">
        <v>0</v>
      </c>
      <c r="AD85" s="15">
        <v>90</v>
      </c>
      <c r="AE85" s="13" t="s">
        <v>719</v>
      </c>
      <c r="AF85" t="str">
        <f>IFERROR(VLOOKUP(AE85,MoveData[],3,FALSE),"")</f>
        <v>Normal</v>
      </c>
      <c r="AG85" t="str">
        <f>IFERROR(VLOOKUP(AE85,MoveData[],4,FALSE),"")</f>
        <v>Status</v>
      </c>
      <c r="AH85" s="14">
        <v>0</v>
      </c>
      <c r="AI85" s="15">
        <v>85</v>
      </c>
      <c r="AJ85" s="13" t="s">
        <v>851</v>
      </c>
      <c r="AK85" s="13" t="s">
        <v>831</v>
      </c>
    </row>
    <row r="86" spans="1:37">
      <c r="A86" s="13" t="s">
        <v>725</v>
      </c>
      <c r="B86" s="13" t="s">
        <v>99</v>
      </c>
      <c r="C86" s="13">
        <v>3</v>
      </c>
      <c r="D86" s="13">
        <v>3</v>
      </c>
      <c r="E86" s="13" t="s">
        <v>734</v>
      </c>
      <c r="F86" s="13" t="s">
        <v>38</v>
      </c>
      <c r="G86" s="13" t="s">
        <v>20</v>
      </c>
      <c r="H86" s="18">
        <v>65</v>
      </c>
      <c r="I86" s="18">
        <v>90</v>
      </c>
      <c r="J86" s="18">
        <v>115</v>
      </c>
      <c r="K86" s="18">
        <v>45</v>
      </c>
      <c r="L86" s="18">
        <v>115</v>
      </c>
      <c r="M86" s="18">
        <v>58</v>
      </c>
      <c r="N86" s="18">
        <v>48</v>
      </c>
      <c r="O86" s="18" t="s">
        <v>820</v>
      </c>
      <c r="P86" s="13" t="s">
        <v>187</v>
      </c>
      <c r="Q86" t="str">
        <f>IFERROR(VLOOKUP(P86,MoveData[],3,FALSE),"")</f>
        <v>Fighting</v>
      </c>
      <c r="R86" t="str">
        <f>IFERROR(VLOOKUP(P86,MoveData[],4,FALSE),"")</f>
        <v>Physical</v>
      </c>
      <c r="S86" s="14">
        <v>75</v>
      </c>
      <c r="T86" s="15">
        <v>100</v>
      </c>
      <c r="U86" s="13" t="s">
        <v>37</v>
      </c>
      <c r="V86" t="str">
        <f>IFERROR(VLOOKUP(U86,MoveData[],3,FALSE),"")</f>
        <v>Dark</v>
      </c>
      <c r="W86" t="str">
        <f>IFERROR(VLOOKUP(U86,MoveData[],4,FALSE),"")</f>
        <v>Physical</v>
      </c>
      <c r="X86" s="14">
        <v>80</v>
      </c>
      <c r="Y86" s="15">
        <v>100</v>
      </c>
      <c r="Z86" s="13" t="s">
        <v>719</v>
      </c>
      <c r="AA86" t="str">
        <f>IFERROR(VLOOKUP(Z86,MoveData[],3,FALSE),"")</f>
        <v>Normal</v>
      </c>
      <c r="AB86" t="str">
        <f>IFERROR(VLOOKUP(Z86,MoveData[],4,FALSE),"")</f>
        <v>Status</v>
      </c>
      <c r="AC86" s="14">
        <v>0</v>
      </c>
      <c r="AD86" s="15">
        <v>85</v>
      </c>
      <c r="AE86" s="13" t="s">
        <v>700</v>
      </c>
      <c r="AF86" t="str">
        <f>IFERROR(VLOOKUP(AE86,MoveData[],3,FALSE),"")</f>
        <v>Normal</v>
      </c>
      <c r="AG86" t="str">
        <f>IFERROR(VLOOKUP(AE86,MoveData[],4,FALSE),"")</f>
        <v>Status</v>
      </c>
      <c r="AH86" s="14">
        <v>0</v>
      </c>
      <c r="AI86" s="15">
        <v>100</v>
      </c>
      <c r="AJ86" s="13" t="s">
        <v>852</v>
      </c>
      <c r="AK86" s="13" t="s">
        <v>831</v>
      </c>
    </row>
    <row r="87" spans="1:37">
      <c r="A87" s="13" t="s">
        <v>725</v>
      </c>
      <c r="B87" s="13" t="s">
        <v>99</v>
      </c>
      <c r="C87" s="13">
        <v>3</v>
      </c>
      <c r="D87" s="13">
        <v>4</v>
      </c>
      <c r="E87" s="13" t="s">
        <v>735</v>
      </c>
      <c r="F87" s="13" t="s">
        <v>41</v>
      </c>
      <c r="G87" s="13" t="s">
        <v>38</v>
      </c>
      <c r="H87" s="18">
        <v>58</v>
      </c>
      <c r="I87" s="18">
        <v>95</v>
      </c>
      <c r="J87" s="18">
        <v>58</v>
      </c>
      <c r="K87" s="18">
        <v>70</v>
      </c>
      <c r="L87" s="18">
        <v>58</v>
      </c>
      <c r="M87" s="18">
        <v>97</v>
      </c>
      <c r="N87" s="18">
        <v>48</v>
      </c>
      <c r="O87" s="18" t="s">
        <v>820</v>
      </c>
      <c r="P87" s="13" t="s">
        <v>196</v>
      </c>
      <c r="Q87" t="str">
        <f>IFERROR(VLOOKUP(P87,MoveData[],3,FALSE),"")</f>
        <v>Grass</v>
      </c>
      <c r="R87" t="str">
        <f>IFERROR(VLOOKUP(P87,MoveData[],4,FALSE),"")</f>
        <v>Physical</v>
      </c>
      <c r="S87" s="14">
        <v>25</v>
      </c>
      <c r="T87" s="15">
        <v>100</v>
      </c>
      <c r="U87" s="13" t="s">
        <v>130</v>
      </c>
      <c r="V87" t="str">
        <f>IFERROR(VLOOKUP(U87,MoveData[],3,FALSE),"")</f>
        <v>Electric</v>
      </c>
      <c r="W87" t="str">
        <f>IFERROR(VLOOKUP(U87,MoveData[],4,FALSE),"")</f>
        <v>Physical</v>
      </c>
      <c r="X87" s="14">
        <v>65</v>
      </c>
      <c r="Y87" s="15">
        <v>100</v>
      </c>
      <c r="Z87" s="13" t="s">
        <v>106</v>
      </c>
      <c r="AA87" t="str">
        <f>IFERROR(VLOOKUP(Z87,MoveData[],3,FALSE),"")</f>
        <v>Dark</v>
      </c>
      <c r="AB87" t="str">
        <f>IFERROR(VLOOKUP(Z87,MoveData[],4,FALSE),"")</f>
        <v>Physical</v>
      </c>
      <c r="AC87" s="14">
        <v>60</v>
      </c>
      <c r="AD87" s="15">
        <v>100</v>
      </c>
      <c r="AE87" s="13" t="s">
        <v>733</v>
      </c>
      <c r="AF87" t="str">
        <f>IFERROR(VLOOKUP(AE87,MoveData[],3,FALSE),"")</f>
        <v>Dark</v>
      </c>
      <c r="AG87" t="str">
        <f>IFERROR(VLOOKUP(AE87,MoveData[],4,FALSE),"")</f>
        <v>Status</v>
      </c>
      <c r="AH87" s="14">
        <v>0</v>
      </c>
      <c r="AI87" s="15">
        <v>100</v>
      </c>
      <c r="AJ87" s="13" t="s">
        <v>878</v>
      </c>
      <c r="AK87" s="13" t="s">
        <v>839</v>
      </c>
    </row>
    <row r="88" spans="1:37">
      <c r="A88" s="13" t="s">
        <v>725</v>
      </c>
      <c r="B88" s="13" t="s">
        <v>99</v>
      </c>
      <c r="C88" s="13">
        <v>3</v>
      </c>
      <c r="D88" s="13">
        <v>5</v>
      </c>
      <c r="E88" s="13" t="s">
        <v>737</v>
      </c>
      <c r="F88" s="13" t="s">
        <v>38</v>
      </c>
      <c r="G88" s="13" t="s">
        <v>44</v>
      </c>
      <c r="H88" s="18">
        <v>95</v>
      </c>
      <c r="I88" s="18">
        <v>120</v>
      </c>
      <c r="J88" s="18">
        <v>65</v>
      </c>
      <c r="K88" s="18">
        <v>95</v>
      </c>
      <c r="L88" s="18">
        <v>75</v>
      </c>
      <c r="M88" s="18">
        <v>60</v>
      </c>
      <c r="N88" s="18">
        <v>49</v>
      </c>
      <c r="O88" s="18" t="s">
        <v>820</v>
      </c>
      <c r="P88" s="13" t="s">
        <v>414</v>
      </c>
      <c r="Q88" t="s">
        <v>44</v>
      </c>
      <c r="R88" t="s">
        <v>31</v>
      </c>
      <c r="S88" s="14">
        <v>130</v>
      </c>
      <c r="T88" s="15">
        <v>100</v>
      </c>
      <c r="U88" s="13" t="s">
        <v>738</v>
      </c>
      <c r="V88" t="s">
        <v>38</v>
      </c>
      <c r="W88" t="s">
        <v>31</v>
      </c>
      <c r="X88" s="14">
        <v>130</v>
      </c>
      <c r="Y88" s="15">
        <v>100</v>
      </c>
      <c r="Z88" s="13" t="s">
        <v>669</v>
      </c>
      <c r="AA88" t="str">
        <f>IFERROR(VLOOKUP(Z88,MoveData[],3,FALSE),"")</f>
        <v>Normal</v>
      </c>
      <c r="AB88" t="str">
        <f>IFERROR(VLOOKUP(Z88,MoveData[],4,FALSE),"")</f>
        <v>Status</v>
      </c>
      <c r="AC88" s="14">
        <v>0</v>
      </c>
      <c r="AD88" s="15">
        <v>100</v>
      </c>
      <c r="AE88" s="13" t="s">
        <v>733</v>
      </c>
      <c r="AF88" t="str">
        <f>IFERROR(VLOOKUP(AE88,MoveData[],3,FALSE),"")</f>
        <v>Dark</v>
      </c>
      <c r="AG88" t="str">
        <f>IFERROR(VLOOKUP(AE88,MoveData[],4,FALSE),"")</f>
        <v>Status</v>
      </c>
      <c r="AH88" s="14">
        <v>0</v>
      </c>
      <c r="AI88" s="15">
        <v>100</v>
      </c>
      <c r="AJ88" s="13" t="s">
        <v>884</v>
      </c>
      <c r="AK88" s="13" t="s">
        <v>831</v>
      </c>
    </row>
    <row r="89" spans="1:37">
      <c r="A89" s="13" t="s">
        <v>670</v>
      </c>
      <c r="B89" s="13" t="s">
        <v>2</v>
      </c>
      <c r="C89" s="13">
        <v>5</v>
      </c>
      <c r="D89" s="13">
        <v>1</v>
      </c>
      <c r="E89" s="13" t="s">
        <v>683</v>
      </c>
      <c r="F89" s="13" t="s">
        <v>35</v>
      </c>
      <c r="G89" s="13" t="s">
        <v>34</v>
      </c>
      <c r="H89" s="18">
        <v>70</v>
      </c>
      <c r="I89" s="18">
        <v>85</v>
      </c>
      <c r="J89" s="18">
        <v>55</v>
      </c>
      <c r="K89" s="18">
        <v>85</v>
      </c>
      <c r="L89" s="18">
        <v>95</v>
      </c>
      <c r="M89" s="18">
        <v>85</v>
      </c>
      <c r="N89" s="18">
        <v>29</v>
      </c>
      <c r="O89" s="18" t="s">
        <v>820</v>
      </c>
      <c r="P89" s="13" t="s">
        <v>231</v>
      </c>
      <c r="Q89" t="str">
        <f>IFERROR(VLOOKUP(P89,MoveData[],3,FALSE),"")</f>
        <v>Water</v>
      </c>
      <c r="R89" t="str">
        <f>IFERROR(VLOOKUP(P89,MoveData[],4,FALSE),"")</f>
        <v>Physical</v>
      </c>
      <c r="S89" s="14">
        <v>80</v>
      </c>
      <c r="T89" s="15">
        <v>100</v>
      </c>
      <c r="U89" s="13" t="s">
        <v>107</v>
      </c>
      <c r="V89" t="str">
        <f>IFERROR(VLOOKUP(U89,MoveData[],3,FALSE),"")</f>
        <v>Normal</v>
      </c>
      <c r="W89" t="str">
        <f>IFERROR(VLOOKUP(U89,MoveData[],4,FALSE),"")</f>
        <v>Physical</v>
      </c>
      <c r="X89" s="14">
        <v>15</v>
      </c>
      <c r="Y89" s="15">
        <v>85</v>
      </c>
      <c r="Z89" s="13" t="s">
        <v>465</v>
      </c>
      <c r="AA89" t="str">
        <f>IFERROR(VLOOKUP(Z89,MoveData[],3,FALSE),"")</f>
        <v>Flying</v>
      </c>
      <c r="AB89" t="str">
        <f>IFERROR(VLOOKUP(Z89,MoveData[],4,FALSE),"")</f>
        <v>Physical</v>
      </c>
      <c r="AC89" s="14">
        <v>60</v>
      </c>
      <c r="AD89" s="15">
        <v>100</v>
      </c>
      <c r="AE89" s="13"/>
      <c r="AF89" t="str">
        <f>IFERROR(VLOOKUP(AE89,MoveData[],3,FALSE),"")</f>
        <v/>
      </c>
      <c r="AG89" t="str">
        <f>IFERROR(VLOOKUP(AE89,MoveData[],4,FALSE),"")</f>
        <v/>
      </c>
      <c r="AH89" s="14">
        <v>0</v>
      </c>
      <c r="AI89" s="15">
        <v>100</v>
      </c>
      <c r="AJ89" s="13" t="s">
        <v>885</v>
      </c>
      <c r="AK89" s="13" t="s">
        <v>839</v>
      </c>
    </row>
    <row r="90" spans="1:37">
      <c r="A90" s="13" t="s">
        <v>670</v>
      </c>
      <c r="B90" s="13" t="s">
        <v>2</v>
      </c>
      <c r="C90" s="13">
        <v>5</v>
      </c>
      <c r="D90" s="13">
        <v>2</v>
      </c>
      <c r="E90" s="13" t="s">
        <v>684</v>
      </c>
      <c r="F90" s="13" t="s">
        <v>23</v>
      </c>
      <c r="G90" s="13"/>
      <c r="H90" s="18">
        <v>52</v>
      </c>
      <c r="I90" s="18">
        <v>57</v>
      </c>
      <c r="J90" s="18">
        <v>75</v>
      </c>
      <c r="K90" s="18">
        <v>35</v>
      </c>
      <c r="L90" s="18">
        <v>50</v>
      </c>
      <c r="M90" s="18">
        <v>46</v>
      </c>
      <c r="N90" s="18">
        <v>30</v>
      </c>
      <c r="O90" s="18" t="s">
        <v>820</v>
      </c>
      <c r="P90" s="13" t="s">
        <v>227</v>
      </c>
      <c r="Q90" t="str">
        <f>IFERROR(VLOOKUP(P90,MoveData[],3,FALSE),"")</f>
        <v>Ground</v>
      </c>
      <c r="R90" t="str">
        <f>IFERROR(VLOOKUP(P90,MoveData[],4,FALSE),"")</f>
        <v>Physical</v>
      </c>
      <c r="S90" s="14">
        <v>80</v>
      </c>
      <c r="T90" s="15">
        <v>100</v>
      </c>
      <c r="U90" s="13" t="s">
        <v>189</v>
      </c>
      <c r="V90" t="str">
        <f>IFERROR(VLOOKUP(U90,MoveData[],3,FALSE),"")</f>
        <v>Dark</v>
      </c>
      <c r="W90" t="str">
        <f>IFERROR(VLOOKUP(U90,MoveData[],4,FALSE),"")</f>
        <v>Physical</v>
      </c>
      <c r="X90" s="14">
        <v>60</v>
      </c>
      <c r="Y90" s="15">
        <v>100</v>
      </c>
      <c r="Z90" s="13" t="s">
        <v>685</v>
      </c>
      <c r="AA90" t="str">
        <f>IFERROR(VLOOKUP(Z90,MoveData[],3,FALSE),"")</f>
        <v>Normal</v>
      </c>
      <c r="AB90" t="str">
        <f>IFERROR(VLOOKUP(Z90,MoveData[],4,FALSE),"")</f>
        <v>Status</v>
      </c>
      <c r="AC90" s="14">
        <v>0</v>
      </c>
      <c r="AD90" s="15">
        <v>100</v>
      </c>
      <c r="AE90" s="13"/>
      <c r="AF90" t="str">
        <f>IFERROR(VLOOKUP(AE90,MoveData[],3,FALSE),"")</f>
        <v/>
      </c>
      <c r="AG90" t="str">
        <f>IFERROR(VLOOKUP(AE90,MoveData[],4,FALSE),"")</f>
        <v/>
      </c>
      <c r="AH90" s="14">
        <v>0</v>
      </c>
      <c r="AI90" s="15">
        <v>100</v>
      </c>
      <c r="AJ90" s="13" t="s">
        <v>868</v>
      </c>
      <c r="AK90" s="13" t="s">
        <v>837</v>
      </c>
    </row>
    <row r="91" spans="1:37">
      <c r="A91" s="13" t="s">
        <v>670</v>
      </c>
      <c r="B91" s="13" t="s">
        <v>2</v>
      </c>
      <c r="C91" s="13">
        <v>5</v>
      </c>
      <c r="D91" s="13">
        <v>3</v>
      </c>
      <c r="E91" s="13" t="s">
        <v>686</v>
      </c>
      <c r="F91" s="13" t="s">
        <v>53</v>
      </c>
      <c r="G91" s="13" t="s">
        <v>41</v>
      </c>
      <c r="H91" s="18">
        <v>40</v>
      </c>
      <c r="I91" s="18">
        <v>38</v>
      </c>
      <c r="J91" s="18">
        <v>35</v>
      </c>
      <c r="K91" s="18">
        <v>54</v>
      </c>
      <c r="L91" s="18">
        <v>35</v>
      </c>
      <c r="M91" s="18">
        <v>40</v>
      </c>
      <c r="N91" s="18">
        <v>29</v>
      </c>
      <c r="O91" s="18" t="s">
        <v>820</v>
      </c>
      <c r="P91" s="13" t="s">
        <v>128</v>
      </c>
      <c r="Q91" t="str">
        <f>IFERROR(VLOOKUP(P91,MoveData[],3,FALSE),"")</f>
        <v>Electric</v>
      </c>
      <c r="R91" t="str">
        <f>IFERROR(VLOOKUP(P91,MoveData[],4,FALSE),"")</f>
        <v>Physical</v>
      </c>
      <c r="S91" s="14">
        <v>20</v>
      </c>
      <c r="T91" s="15">
        <v>100</v>
      </c>
      <c r="U91" s="13" t="s">
        <v>139</v>
      </c>
      <c r="V91" t="str">
        <f>IFERROR(VLOOKUP(U91,MoveData[],3,FALSE),"")</f>
        <v>Poison</v>
      </c>
      <c r="W91" t="str">
        <f>IFERROR(VLOOKUP(U91,MoveData[],4,FALSE),"")</f>
        <v>Special</v>
      </c>
      <c r="X91" s="14">
        <v>40</v>
      </c>
      <c r="Y91" s="15">
        <v>100</v>
      </c>
      <c r="Z91" s="13" t="s">
        <v>294</v>
      </c>
      <c r="AA91" t="str">
        <f>IFERROR(VLOOKUP(Z91,MoveData[],3,FALSE),"")</f>
        <v>Normal</v>
      </c>
      <c r="AB91" t="str">
        <f>IFERROR(VLOOKUP(Z91,MoveData[],4,FALSE),"")</f>
        <v>Physical</v>
      </c>
      <c r="AC91" s="14">
        <v>0</v>
      </c>
      <c r="AD91" s="15">
        <v>100</v>
      </c>
      <c r="AE91" s="13" t="s">
        <v>687</v>
      </c>
      <c r="AF91" t="str">
        <f>IFERROR(VLOOKUP(AE91,MoveData[],3,FALSE),"")</f>
        <v>Normal</v>
      </c>
      <c r="AG91" t="str">
        <f>IFERROR(VLOOKUP(AE91,MoveData[],4,FALSE),"")</f>
        <v>Status</v>
      </c>
      <c r="AH91" s="14">
        <v>0</v>
      </c>
      <c r="AI91" s="15">
        <v>100</v>
      </c>
      <c r="AJ91" s="13" t="s">
        <v>886</v>
      </c>
      <c r="AK91" s="13" t="s">
        <v>837</v>
      </c>
    </row>
    <row r="92" spans="1:37">
      <c r="A92" s="13" t="s">
        <v>670</v>
      </c>
      <c r="B92" s="13" t="s">
        <v>2</v>
      </c>
      <c r="C92" s="13">
        <v>5</v>
      </c>
      <c r="D92" s="13">
        <v>4</v>
      </c>
      <c r="E92" s="13" t="s">
        <v>688</v>
      </c>
      <c r="F92" s="13" t="s">
        <v>43</v>
      </c>
      <c r="G92" s="13"/>
      <c r="H92" s="18">
        <v>70</v>
      </c>
      <c r="I92" s="18">
        <v>85</v>
      </c>
      <c r="J92" s="18">
        <v>70</v>
      </c>
      <c r="K92" s="18">
        <v>55</v>
      </c>
      <c r="L92" s="18">
        <v>60</v>
      </c>
      <c r="M92" s="18">
        <v>80</v>
      </c>
      <c r="N92" s="18">
        <v>33</v>
      </c>
      <c r="O92" s="18" t="s">
        <v>820</v>
      </c>
      <c r="P92" s="13" t="s">
        <v>381</v>
      </c>
      <c r="Q92" t="str">
        <f>IFERROR(VLOOKUP(P92,MoveData[],3,FALSE),"")</f>
        <v>Dark</v>
      </c>
      <c r="R92" t="str">
        <f>IFERROR(VLOOKUP(P92,MoveData[],4,FALSE),"")</f>
        <v>Physical</v>
      </c>
      <c r="S92" s="14">
        <v>65</v>
      </c>
      <c r="T92" s="15">
        <v>100</v>
      </c>
      <c r="U92" s="13" t="s">
        <v>496</v>
      </c>
      <c r="V92" t="str">
        <f>IFERROR(VLOOKUP(U92,MoveData[],3,FALSE),"")</f>
        <v>Grass</v>
      </c>
      <c r="W92" t="str">
        <f>IFERROR(VLOOKUP(U92,MoveData[],4,FALSE),"")</f>
        <v>Physical</v>
      </c>
      <c r="X92" s="14">
        <v>55</v>
      </c>
      <c r="Y92" s="15">
        <v>95</v>
      </c>
      <c r="Z92" s="13" t="s">
        <v>60</v>
      </c>
      <c r="AA92" t="str">
        <f>IFERROR(VLOOKUP(Z92,MoveData[],3,FALSE),"")</f>
        <v>Normal</v>
      </c>
      <c r="AB92" t="str">
        <f>IFERROR(VLOOKUP(Z92,MoveData[],4,FALSE),"")</f>
        <v>Special</v>
      </c>
      <c r="AC92" s="14">
        <v>60</v>
      </c>
      <c r="AD92" s="15">
        <v>100</v>
      </c>
      <c r="AE92" s="13" t="s">
        <v>682</v>
      </c>
      <c r="AF92" t="str">
        <f>IFERROR(VLOOKUP(AE92,MoveData[],3,FALSE),"")</f>
        <v>Normal</v>
      </c>
      <c r="AG92" t="str">
        <f>IFERROR(VLOOKUP(AE92,MoveData[],4,FALSE),"")</f>
        <v>Status</v>
      </c>
      <c r="AH92" s="14">
        <v>0</v>
      </c>
      <c r="AI92" s="15">
        <v>85</v>
      </c>
      <c r="AJ92" s="13" t="s">
        <v>842</v>
      </c>
      <c r="AK92" s="13" t="s">
        <v>843</v>
      </c>
    </row>
    <row r="93" spans="1:37">
      <c r="A93" s="13" t="s">
        <v>670</v>
      </c>
      <c r="B93" s="13" t="s">
        <v>697</v>
      </c>
      <c r="C93" s="13">
        <v>7</v>
      </c>
      <c r="D93" s="13">
        <v>1</v>
      </c>
      <c r="E93" s="13" t="s">
        <v>698</v>
      </c>
      <c r="F93" s="13" t="s">
        <v>32</v>
      </c>
      <c r="G93" s="13"/>
      <c r="H93" s="18">
        <v>72</v>
      </c>
      <c r="I93" s="18">
        <v>80</v>
      </c>
      <c r="J93" s="18">
        <v>100</v>
      </c>
      <c r="K93" s="18">
        <v>60</v>
      </c>
      <c r="L93" s="18">
        <v>90</v>
      </c>
      <c r="M93" s="18">
        <v>88</v>
      </c>
      <c r="N93" s="18">
        <v>40</v>
      </c>
      <c r="O93" s="18" t="s">
        <v>820</v>
      </c>
      <c r="P93" s="13" t="s">
        <v>97</v>
      </c>
      <c r="Q93" t="str">
        <f>IFERROR(VLOOKUP(P93,MoveData[],3,FALSE),"")</f>
        <v>Fighting</v>
      </c>
      <c r="R93" t="str">
        <f>IFERROR(VLOOKUP(P93,MoveData[],4,FALSE),"")</f>
        <v>Physical</v>
      </c>
      <c r="S93" s="14">
        <v>30</v>
      </c>
      <c r="T93" s="15">
        <v>100</v>
      </c>
      <c r="U93" s="13" t="s">
        <v>605</v>
      </c>
      <c r="V93" t="str">
        <f>IFERROR(VLOOKUP(U93,MoveData[],3,FALSE),"")</f>
        <v>Normal</v>
      </c>
      <c r="W93" t="str">
        <f>IFERROR(VLOOKUP(U93,MoveData[],4,FALSE),"")</f>
        <v>Physical</v>
      </c>
      <c r="X93" s="14">
        <v>90</v>
      </c>
      <c r="Y93" s="15">
        <v>85</v>
      </c>
      <c r="Z93" s="13" t="s">
        <v>681</v>
      </c>
      <c r="AA93" t="str">
        <f>IFERROR(VLOOKUP(Z93,MoveData[],3,FALSE),"")</f>
        <v>Normal</v>
      </c>
      <c r="AB93" t="str">
        <f>IFERROR(VLOOKUP(Z93,MoveData[],4,FALSE),"")</f>
        <v>Status</v>
      </c>
      <c r="AC93" s="14">
        <v>0</v>
      </c>
      <c r="AD93" s="15">
        <v>100</v>
      </c>
      <c r="AE93" s="13" t="s">
        <v>98</v>
      </c>
      <c r="AF93" t="str">
        <f>IFERROR(VLOOKUP(AE93,MoveData[],3,FALSE),"")</f>
        <v>Normal</v>
      </c>
      <c r="AG93" t="str">
        <f>IFERROR(VLOOKUP(AE93,MoveData[],4,FALSE),"")</f>
        <v>Status</v>
      </c>
      <c r="AH93" s="14">
        <v>0</v>
      </c>
      <c r="AI93" s="15">
        <v>100</v>
      </c>
      <c r="AJ93" s="13" t="s">
        <v>841</v>
      </c>
      <c r="AK93" s="13" t="s">
        <v>837</v>
      </c>
    </row>
    <row r="94" spans="1:37">
      <c r="A94" s="13" t="s">
        <v>670</v>
      </c>
      <c r="B94" s="13" t="s">
        <v>697</v>
      </c>
      <c r="C94" s="13">
        <v>7</v>
      </c>
      <c r="D94" s="13">
        <v>2</v>
      </c>
      <c r="E94" s="13" t="s">
        <v>699</v>
      </c>
      <c r="F94" s="13" t="s">
        <v>35</v>
      </c>
      <c r="G94" s="13" t="s">
        <v>24</v>
      </c>
      <c r="H94" s="18">
        <v>98</v>
      </c>
      <c r="I94" s="18">
        <v>87</v>
      </c>
      <c r="J94" s="18">
        <v>105</v>
      </c>
      <c r="K94" s="18">
        <v>53</v>
      </c>
      <c r="L94" s="18">
        <v>85</v>
      </c>
      <c r="M94" s="18">
        <v>67</v>
      </c>
      <c r="N94" s="18">
        <v>40</v>
      </c>
      <c r="O94" s="18" t="s">
        <v>820</v>
      </c>
      <c r="P94" s="13" t="s">
        <v>107</v>
      </c>
      <c r="Q94" t="str">
        <f>IFERROR(VLOOKUP(P94,MoveData[],3,FALSE),"")</f>
        <v>Normal</v>
      </c>
      <c r="R94" t="str">
        <f>IFERROR(VLOOKUP(P94,MoveData[],4,FALSE),"")</f>
        <v>Physical</v>
      </c>
      <c r="S94" s="14">
        <v>15</v>
      </c>
      <c r="T94" s="15">
        <v>85</v>
      </c>
      <c r="U94" s="13" t="s">
        <v>465</v>
      </c>
      <c r="V94" t="str">
        <f>IFERROR(VLOOKUP(U94,MoveData[],3,FALSE),"")</f>
        <v>Flying</v>
      </c>
      <c r="W94" t="str">
        <f>IFERROR(VLOOKUP(U94,MoveData[],4,FALSE),"")</f>
        <v>Physical</v>
      </c>
      <c r="X94" s="14">
        <v>60</v>
      </c>
      <c r="Y94" s="15">
        <v>100</v>
      </c>
      <c r="Z94" s="13" t="s">
        <v>252</v>
      </c>
      <c r="AA94" t="str">
        <f>IFERROR(VLOOKUP(Z94,MoveData[],3,FALSE),"")</f>
        <v>Flying</v>
      </c>
      <c r="AB94" t="str">
        <f>IFERROR(VLOOKUP(Z94,MoveData[],4,FALSE),"")</f>
        <v>Physical</v>
      </c>
      <c r="AC94" s="14">
        <v>80</v>
      </c>
      <c r="AD94" s="15">
        <v>100</v>
      </c>
      <c r="AE94" s="13" t="s">
        <v>700</v>
      </c>
      <c r="AF94" t="str">
        <f>IFERROR(VLOOKUP(AE94,MoveData[],3,FALSE),"")</f>
        <v>Normal</v>
      </c>
      <c r="AG94" t="str">
        <f>IFERROR(VLOOKUP(AE94,MoveData[],4,FALSE),"")</f>
        <v>Status</v>
      </c>
      <c r="AH94" s="14">
        <v>0</v>
      </c>
      <c r="AI94" s="15">
        <v>100</v>
      </c>
      <c r="AJ94" s="13" t="s">
        <v>887</v>
      </c>
      <c r="AK94" s="13" t="s">
        <v>837</v>
      </c>
    </row>
    <row r="95" spans="1:37">
      <c r="A95" s="13" t="s">
        <v>670</v>
      </c>
      <c r="B95" s="13" t="s">
        <v>697</v>
      </c>
      <c r="C95" s="13">
        <v>7</v>
      </c>
      <c r="D95" s="13">
        <v>3</v>
      </c>
      <c r="E95" s="13" t="s">
        <v>701</v>
      </c>
      <c r="F95" s="13" t="s">
        <v>41</v>
      </c>
      <c r="G95" s="13"/>
      <c r="H95" s="18">
        <v>48</v>
      </c>
      <c r="I95" s="18">
        <v>101</v>
      </c>
      <c r="J95" s="18">
        <v>95</v>
      </c>
      <c r="K95" s="18">
        <v>91</v>
      </c>
      <c r="L95" s="18">
        <v>85</v>
      </c>
      <c r="M95" s="18">
        <v>15</v>
      </c>
      <c r="N95" s="18">
        <v>39</v>
      </c>
      <c r="O95" s="18" t="s">
        <v>820</v>
      </c>
      <c r="P95" s="13" t="s">
        <v>130</v>
      </c>
      <c r="Q95" t="str">
        <f>IFERROR(VLOOKUP(P95,MoveData[],3,FALSE),"")</f>
        <v>Electric</v>
      </c>
      <c r="R95" t="str">
        <f>IFERROR(VLOOKUP(P95,MoveData[],4,FALSE),"")</f>
        <v>Physical</v>
      </c>
      <c r="S95" s="14">
        <v>65</v>
      </c>
      <c r="T95" s="15">
        <v>100</v>
      </c>
      <c r="U95" s="13" t="s">
        <v>191</v>
      </c>
      <c r="V95" t="str">
        <f>IFERROR(VLOOKUP(U95,MoveData[],3,FALSE),"")</f>
        <v>Water</v>
      </c>
      <c r="W95" t="str">
        <f>IFERROR(VLOOKUP(U95,MoveData[],4,FALSE),"")</f>
        <v>Special</v>
      </c>
      <c r="X95" s="14">
        <v>65</v>
      </c>
      <c r="Y95" s="15">
        <v>100</v>
      </c>
      <c r="Z95" s="13" t="s">
        <v>702</v>
      </c>
      <c r="AA95" t="str">
        <f>IFERROR(VLOOKUP(Z95,MoveData[],3,FALSE),"")</f>
        <v>Ghost</v>
      </c>
      <c r="AB95" t="str">
        <f>IFERROR(VLOOKUP(Z95,MoveData[],4,FALSE),"")</f>
        <v>Status</v>
      </c>
      <c r="AC95" s="14">
        <v>0</v>
      </c>
      <c r="AD95" s="15">
        <v>100</v>
      </c>
      <c r="AE95" s="13"/>
      <c r="AF95" t="str">
        <f>IFERROR(VLOOKUP(AE95,MoveData[],3,FALSE),"")</f>
        <v/>
      </c>
      <c r="AG95" t="str">
        <f>IFERROR(VLOOKUP(AE95,MoveData[],4,FALSE),"")</f>
        <v/>
      </c>
      <c r="AH95" s="14">
        <v>0</v>
      </c>
      <c r="AI95" s="15">
        <v>100</v>
      </c>
      <c r="AJ95" s="13" t="s">
        <v>888</v>
      </c>
      <c r="AK95" s="13" t="s">
        <v>837</v>
      </c>
    </row>
    <row r="96" spans="1:37">
      <c r="A96" s="13" t="s">
        <v>670</v>
      </c>
      <c r="B96" s="13" t="s">
        <v>697</v>
      </c>
      <c r="C96" s="13">
        <v>7</v>
      </c>
      <c r="D96" s="13">
        <v>4</v>
      </c>
      <c r="E96" s="13" t="s">
        <v>693</v>
      </c>
      <c r="F96" s="13" t="s">
        <v>32</v>
      </c>
      <c r="G96" s="13"/>
      <c r="H96" s="18">
        <v>160</v>
      </c>
      <c r="I96" s="18">
        <v>110</v>
      </c>
      <c r="J96" s="18">
        <v>65</v>
      </c>
      <c r="K96" s="18">
        <v>65</v>
      </c>
      <c r="L96" s="18">
        <v>110</v>
      </c>
      <c r="M96" s="18">
        <v>30</v>
      </c>
      <c r="N96" s="18">
        <v>39</v>
      </c>
      <c r="O96" s="18" t="s">
        <v>820</v>
      </c>
      <c r="P96" s="13" t="s">
        <v>37</v>
      </c>
      <c r="Q96" t="str">
        <f>IFERROR(VLOOKUP(P96,MoveData[],3,FALSE),"")</f>
        <v>Dark</v>
      </c>
      <c r="R96" t="str">
        <f>IFERROR(VLOOKUP(P96,MoveData[],4,FALSE),"")</f>
        <v>Physical</v>
      </c>
      <c r="S96" s="14">
        <v>80</v>
      </c>
      <c r="T96" s="15">
        <v>100</v>
      </c>
      <c r="U96" s="13" t="s">
        <v>346</v>
      </c>
      <c r="V96" t="str">
        <f>IFERROR(VLOOKUP(U96,MoveData[],3,FALSE),"")</f>
        <v>Steel</v>
      </c>
      <c r="W96" t="str">
        <f>IFERROR(VLOOKUP(U96,MoveData[],4,FALSE),"")</f>
        <v>Physical</v>
      </c>
      <c r="X96" s="14">
        <v>0</v>
      </c>
      <c r="Y96" s="15">
        <v>100</v>
      </c>
      <c r="Z96" s="13" t="s">
        <v>175</v>
      </c>
      <c r="AA96" t="str">
        <f>IFERROR(VLOOKUP(Z96,MoveData[],3,FALSE),"")</f>
        <v>Normal</v>
      </c>
      <c r="AB96" t="str">
        <f>IFERROR(VLOOKUP(Z96,MoveData[],4,FALSE),"")</f>
        <v>Physical</v>
      </c>
      <c r="AC96" s="14">
        <v>85</v>
      </c>
      <c r="AD96" s="15">
        <v>100</v>
      </c>
      <c r="AE96" s="13"/>
      <c r="AF96" t="str">
        <f>IFERROR(VLOOKUP(AE96,MoveData[],3,FALSE),"")</f>
        <v/>
      </c>
      <c r="AG96" t="str">
        <f>IFERROR(VLOOKUP(AE96,MoveData[],4,FALSE),"")</f>
        <v/>
      </c>
      <c r="AH96" s="14">
        <v>0</v>
      </c>
      <c r="AI96" s="15">
        <v>100</v>
      </c>
      <c r="AJ96" s="13" t="s">
        <v>889</v>
      </c>
      <c r="AK96" s="13" t="s">
        <v>837</v>
      </c>
    </row>
    <row r="97" spans="1:37">
      <c r="A97" s="13" t="s">
        <v>670</v>
      </c>
      <c r="B97" s="13" t="s">
        <v>697</v>
      </c>
      <c r="C97" s="13">
        <v>7</v>
      </c>
      <c r="D97" s="13">
        <v>5</v>
      </c>
      <c r="E97" s="13" t="s">
        <v>696</v>
      </c>
      <c r="F97" s="13" t="s">
        <v>43</v>
      </c>
      <c r="G97" s="13"/>
      <c r="H97" s="18">
        <v>100</v>
      </c>
      <c r="I97" s="18">
        <v>125</v>
      </c>
      <c r="J97" s="18">
        <v>90</v>
      </c>
      <c r="K97" s="18">
        <v>60</v>
      </c>
      <c r="L97" s="18">
        <v>70</v>
      </c>
      <c r="M97" s="18">
        <v>85</v>
      </c>
      <c r="N97" s="18">
        <v>41</v>
      </c>
      <c r="O97" s="18" t="s">
        <v>820</v>
      </c>
      <c r="P97" s="13" t="s">
        <v>234</v>
      </c>
      <c r="Q97" t="str">
        <f>IFERROR(VLOOKUP(P97,MoveData[],3,FALSE),"")</f>
        <v>Normal</v>
      </c>
      <c r="R97" t="str">
        <f>IFERROR(VLOOKUP(P97,MoveData[],4,FALSE),"")</f>
        <v>Physical</v>
      </c>
      <c r="S97" s="14">
        <v>35</v>
      </c>
      <c r="T97" s="15">
        <v>90</v>
      </c>
      <c r="U97" s="13" t="s">
        <v>381</v>
      </c>
      <c r="V97" t="str">
        <f>IFERROR(VLOOKUP(U97,MoveData[],3,FALSE),"")</f>
        <v>Dark</v>
      </c>
      <c r="W97" t="str">
        <f>IFERROR(VLOOKUP(U97,MoveData[],4,FALSE),"")</f>
        <v>Physical</v>
      </c>
      <c r="X97" s="14">
        <v>65</v>
      </c>
      <c r="Y97" s="15">
        <v>100</v>
      </c>
      <c r="Z97" s="13" t="s">
        <v>253</v>
      </c>
      <c r="AA97" t="str">
        <f>IFERROR(VLOOKUP(Z97,MoveData[],3,FALSE),"")</f>
        <v>Grass</v>
      </c>
      <c r="AB97" t="str">
        <f>IFERROR(VLOOKUP(Z97,MoveData[],4,FALSE),"")</f>
        <v>Physical</v>
      </c>
      <c r="AC97" s="14">
        <v>80</v>
      </c>
      <c r="AD97" s="15">
        <v>100</v>
      </c>
      <c r="AE97" s="13" t="s">
        <v>187</v>
      </c>
      <c r="AF97" t="str">
        <f>IFERROR(VLOOKUP(AE97,MoveData[],3,FALSE),"")</f>
        <v>Fighting</v>
      </c>
      <c r="AG97" t="str">
        <f>IFERROR(VLOOKUP(AE97,MoveData[],4,FALSE),"")</f>
        <v>Physical</v>
      </c>
      <c r="AH97" s="14">
        <v>75</v>
      </c>
      <c r="AI97" s="15">
        <v>100</v>
      </c>
      <c r="AJ97" s="13" t="s">
        <v>842</v>
      </c>
      <c r="AK97" s="13" t="s">
        <v>843</v>
      </c>
    </row>
    <row r="98" spans="1:37">
      <c r="A98" s="13" t="s">
        <v>670</v>
      </c>
      <c r="B98" s="13" t="s">
        <v>689</v>
      </c>
      <c r="C98" s="13">
        <v>6</v>
      </c>
      <c r="D98" s="13">
        <v>1</v>
      </c>
      <c r="E98" s="13" t="s">
        <v>690</v>
      </c>
      <c r="F98" s="13" t="s">
        <v>43</v>
      </c>
      <c r="G98" s="13" t="s">
        <v>46</v>
      </c>
      <c r="H98" s="18">
        <v>85</v>
      </c>
      <c r="I98" s="18">
        <v>110</v>
      </c>
      <c r="J98" s="18">
        <v>76</v>
      </c>
      <c r="K98" s="18">
        <v>65</v>
      </c>
      <c r="L98" s="18">
        <v>82</v>
      </c>
      <c r="M98" s="18">
        <v>56</v>
      </c>
      <c r="N98" s="18">
        <v>34</v>
      </c>
      <c r="O98" s="18" t="s">
        <v>820</v>
      </c>
      <c r="P98" s="13" t="s">
        <v>353</v>
      </c>
      <c r="Q98" t="str">
        <f>IFERROR(VLOOKUP(P98,MoveData[],3,FALSE),"")</f>
        <v>Grass</v>
      </c>
      <c r="R98" t="str">
        <f>IFERROR(VLOOKUP(P98,MoveData[],4,FALSE),"")</f>
        <v>Physical</v>
      </c>
      <c r="S98" s="14">
        <v>75</v>
      </c>
      <c r="T98" s="15">
        <v>100</v>
      </c>
      <c r="U98" s="13" t="s">
        <v>103</v>
      </c>
      <c r="V98" t="str">
        <f>IFERROR(VLOOKUP(U98,MoveData[],3,FALSE),"")</f>
        <v>Ghost</v>
      </c>
      <c r="W98" t="str">
        <f>IFERROR(VLOOKUP(U98,MoveData[],4,FALSE),"")</f>
        <v>Physical</v>
      </c>
      <c r="X98" s="14">
        <v>70</v>
      </c>
      <c r="Y98" s="15">
        <v>100</v>
      </c>
      <c r="Z98" s="13" t="s">
        <v>691</v>
      </c>
      <c r="AA98" t="str">
        <f>IFERROR(VLOOKUP(Z98,MoveData[],3,FALSE),"")</f>
        <v>Ghost</v>
      </c>
      <c r="AB98" t="str">
        <f>IFERROR(VLOOKUP(Z98,MoveData[],4,FALSE),"")</f>
        <v>Status</v>
      </c>
      <c r="AC98" s="14">
        <v>0</v>
      </c>
      <c r="AD98" s="15">
        <v>100</v>
      </c>
      <c r="AE98" s="13"/>
      <c r="AF98" t="str">
        <f>IFERROR(VLOOKUP(AE98,MoveData[],3,FALSE),"")</f>
        <v/>
      </c>
      <c r="AG98" t="str">
        <f>IFERROR(VLOOKUP(AE98,MoveData[],4,FALSE),"")</f>
        <v/>
      </c>
      <c r="AH98" s="14">
        <v>0</v>
      </c>
      <c r="AI98" s="15">
        <v>100</v>
      </c>
      <c r="AJ98" s="13" t="s">
        <v>890</v>
      </c>
      <c r="AK98" s="13" t="s">
        <v>837</v>
      </c>
    </row>
    <row r="99" spans="1:37">
      <c r="A99" s="13" t="s">
        <v>670</v>
      </c>
      <c r="B99" s="13" t="s">
        <v>689</v>
      </c>
      <c r="C99" s="13">
        <v>6</v>
      </c>
      <c r="D99" s="13">
        <v>2</v>
      </c>
      <c r="E99" s="13" t="s">
        <v>692</v>
      </c>
      <c r="F99" s="13" t="s">
        <v>19</v>
      </c>
      <c r="G99" s="13"/>
      <c r="H99" s="18">
        <v>85</v>
      </c>
      <c r="I99" s="18">
        <v>97</v>
      </c>
      <c r="J99" s="18">
        <v>66</v>
      </c>
      <c r="K99" s="18">
        <v>105</v>
      </c>
      <c r="L99" s="18">
        <v>66</v>
      </c>
      <c r="M99" s="18">
        <v>65</v>
      </c>
      <c r="N99" s="18">
        <v>34</v>
      </c>
      <c r="O99" s="18" t="s">
        <v>820</v>
      </c>
      <c r="P99" s="13" t="s">
        <v>288</v>
      </c>
      <c r="Q99" t="str">
        <f>IFERROR(VLOOKUP(P99,MoveData[],3,FALSE),"")</f>
        <v>Fire</v>
      </c>
      <c r="R99" t="str">
        <f>IFERROR(VLOOKUP(P99,MoveData[],4,FALSE),"")</f>
        <v>Physical</v>
      </c>
      <c r="S99" s="14">
        <v>80</v>
      </c>
      <c r="T99" s="15">
        <v>100</v>
      </c>
      <c r="U99" s="13" t="s">
        <v>192</v>
      </c>
      <c r="V99" t="str">
        <f>IFERROR(VLOOKUP(U99,MoveData[],3,FALSE),"")</f>
        <v>Bug</v>
      </c>
      <c r="W99" t="str">
        <f>IFERROR(VLOOKUP(U99,MoveData[],4,FALSE),"")</f>
        <v>Physical</v>
      </c>
      <c r="X99" s="14">
        <v>60</v>
      </c>
      <c r="Y99" s="15">
        <v>100</v>
      </c>
      <c r="Z99" s="13" t="s">
        <v>552</v>
      </c>
      <c r="AA99" t="str">
        <f>IFERROR(VLOOKUP(Z99,MoveData[],3,FALSE),"")</f>
        <v>Normal</v>
      </c>
      <c r="AB99" t="str">
        <f>IFERROR(VLOOKUP(Z99,MoveData[],4,FALSE),"")</f>
        <v>Physical</v>
      </c>
      <c r="AC99" s="14">
        <v>70</v>
      </c>
      <c r="AD99" s="15">
        <v>100</v>
      </c>
      <c r="AE99" s="13" t="s">
        <v>392</v>
      </c>
      <c r="AF99" t="str">
        <f>IFERROR(VLOOKUP(AE99,MoveData[],3,FALSE),"")</f>
        <v>Ghost</v>
      </c>
      <c r="AG99" t="str">
        <f>IFERROR(VLOOKUP(AE99,MoveData[],4,FALSE),"")</f>
        <v>Physical</v>
      </c>
      <c r="AH99" s="14">
        <v>30</v>
      </c>
      <c r="AI99" s="15">
        <v>100</v>
      </c>
      <c r="AJ99" s="13" t="s">
        <v>844</v>
      </c>
      <c r="AK99" s="13" t="s">
        <v>837</v>
      </c>
    </row>
    <row r="100" spans="1:37">
      <c r="A100" s="13" t="s">
        <v>670</v>
      </c>
      <c r="B100" s="13" t="s">
        <v>689</v>
      </c>
      <c r="C100" s="13">
        <v>6</v>
      </c>
      <c r="D100" s="13">
        <v>3</v>
      </c>
      <c r="E100" s="13" t="s">
        <v>693</v>
      </c>
      <c r="F100" s="13" t="s">
        <v>32</v>
      </c>
      <c r="G100" s="13"/>
      <c r="H100" s="18">
        <v>160</v>
      </c>
      <c r="I100" s="18">
        <v>110</v>
      </c>
      <c r="J100" s="18">
        <v>65</v>
      </c>
      <c r="K100" s="18">
        <v>65</v>
      </c>
      <c r="L100" s="18">
        <v>110</v>
      </c>
      <c r="M100" s="18">
        <v>30</v>
      </c>
      <c r="N100" s="18">
        <v>35</v>
      </c>
      <c r="O100" s="18" t="s">
        <v>820</v>
      </c>
      <c r="P100" s="13" t="s">
        <v>175</v>
      </c>
      <c r="Q100" t="str">
        <f>IFERROR(VLOOKUP(P100,MoveData[],3,FALSE),"")</f>
        <v>Normal</v>
      </c>
      <c r="R100" t="str">
        <f>IFERROR(VLOOKUP(P100,MoveData[],4,FALSE),"")</f>
        <v>Physical</v>
      </c>
      <c r="S100" s="14">
        <v>85</v>
      </c>
      <c r="T100" s="15">
        <v>100</v>
      </c>
      <c r="U100" s="13" t="s">
        <v>346</v>
      </c>
      <c r="V100" t="str">
        <f>IFERROR(VLOOKUP(U100,MoveData[],3,FALSE),"")</f>
        <v>Steel</v>
      </c>
      <c r="W100" t="str">
        <f>IFERROR(VLOOKUP(U100,MoveData[],4,FALSE),"")</f>
        <v>Physical</v>
      </c>
      <c r="X100" s="14">
        <v>0</v>
      </c>
      <c r="Y100" s="15">
        <v>100</v>
      </c>
      <c r="Z100" s="13" t="s">
        <v>694</v>
      </c>
      <c r="AA100" t="str">
        <f>IFERROR(VLOOKUP(Z100,MoveData[],3,FALSE),"")</f>
        <v>Normal</v>
      </c>
      <c r="AB100" t="str">
        <f>IFERROR(VLOOKUP(Z100,MoveData[],4,FALSE),"")</f>
        <v>Status</v>
      </c>
      <c r="AC100" s="14">
        <v>0</v>
      </c>
      <c r="AD100" s="15">
        <v>100</v>
      </c>
      <c r="AE100" s="13"/>
      <c r="AF100" t="str">
        <f>IFERROR(VLOOKUP(AE100,MoveData[],3,FALSE),"")</f>
        <v/>
      </c>
      <c r="AG100" t="str">
        <f>IFERROR(VLOOKUP(AE100,MoveData[],4,FALSE),"")</f>
        <v/>
      </c>
      <c r="AH100" s="14">
        <v>0</v>
      </c>
      <c r="AI100" s="15">
        <v>100</v>
      </c>
      <c r="AJ100" s="13" t="s">
        <v>889</v>
      </c>
      <c r="AK100" s="13" t="s">
        <v>837</v>
      </c>
    </row>
    <row r="101" spans="1:37">
      <c r="A101" s="13" t="s">
        <v>670</v>
      </c>
      <c r="B101" s="13" t="s">
        <v>689</v>
      </c>
      <c r="C101" s="13">
        <v>6</v>
      </c>
      <c r="D101" s="13">
        <v>4</v>
      </c>
      <c r="E101" s="13" t="s">
        <v>695</v>
      </c>
      <c r="F101" s="13" t="s">
        <v>41</v>
      </c>
      <c r="G101" s="13"/>
      <c r="H101" s="18">
        <v>69</v>
      </c>
      <c r="I101" s="18">
        <v>90</v>
      </c>
      <c r="J101" s="18">
        <v>60</v>
      </c>
      <c r="K101" s="18">
        <v>90</v>
      </c>
      <c r="L101" s="18">
        <v>60</v>
      </c>
      <c r="M101" s="18">
        <v>121</v>
      </c>
      <c r="N101" s="18">
        <v>35</v>
      </c>
      <c r="O101" s="18" t="s">
        <v>820</v>
      </c>
      <c r="P101" s="13" t="s">
        <v>130</v>
      </c>
      <c r="Q101" t="str">
        <f>IFERROR(VLOOKUP(P101,MoveData[],3,FALSE),"")</f>
        <v>Electric</v>
      </c>
      <c r="R101" t="str">
        <f>IFERROR(VLOOKUP(P101,MoveData[],4,FALSE),"")</f>
        <v>Physical</v>
      </c>
      <c r="S101" s="14">
        <v>65</v>
      </c>
      <c r="T101" s="15">
        <v>100</v>
      </c>
      <c r="U101" s="13" t="s">
        <v>37</v>
      </c>
      <c r="V101" t="str">
        <f>IFERROR(VLOOKUP(U101,MoveData[],3,FALSE),"")</f>
        <v>Dark</v>
      </c>
      <c r="W101" t="str">
        <f>IFERROR(VLOOKUP(U101,MoveData[],4,FALSE),"")</f>
        <v>Physical</v>
      </c>
      <c r="X101" s="14">
        <v>80</v>
      </c>
      <c r="Y101" s="15">
        <v>100</v>
      </c>
      <c r="Z101" s="13" t="s">
        <v>128</v>
      </c>
      <c r="AA101" t="str">
        <f>IFERROR(VLOOKUP(Z101,MoveData[],3,FALSE),"")</f>
        <v>Electric</v>
      </c>
      <c r="AB101" t="str">
        <f>IFERROR(VLOOKUP(Z101,MoveData[],4,FALSE),"")</f>
        <v>Physical</v>
      </c>
      <c r="AC101" s="14">
        <v>20</v>
      </c>
      <c r="AD101" s="15">
        <v>100</v>
      </c>
      <c r="AE101" s="13" t="s">
        <v>129</v>
      </c>
      <c r="AF101" t="str">
        <f>IFERROR(VLOOKUP(AE101,MoveData[],3,FALSE),"")</f>
        <v>Normal</v>
      </c>
      <c r="AG101" t="str">
        <f>IFERROR(VLOOKUP(AE101,MoveData[],4,FALSE),"")</f>
        <v>Status</v>
      </c>
      <c r="AH101" s="14">
        <v>0</v>
      </c>
      <c r="AI101" s="15">
        <v>100</v>
      </c>
      <c r="AJ101" s="13" t="s">
        <v>891</v>
      </c>
      <c r="AK101" s="13" t="s">
        <v>837</v>
      </c>
    </row>
    <row r="102" spans="1:37">
      <c r="A102" s="13" t="s">
        <v>670</v>
      </c>
      <c r="B102" s="13" t="s">
        <v>689</v>
      </c>
      <c r="C102" s="13">
        <v>6</v>
      </c>
      <c r="D102" s="13">
        <v>5</v>
      </c>
      <c r="E102" s="13" t="s">
        <v>696</v>
      </c>
      <c r="F102" s="13" t="s">
        <v>43</v>
      </c>
      <c r="G102" s="13"/>
      <c r="H102" s="18">
        <v>100</v>
      </c>
      <c r="I102" s="18">
        <v>125</v>
      </c>
      <c r="J102" s="18">
        <v>90</v>
      </c>
      <c r="K102" s="18">
        <v>60</v>
      </c>
      <c r="L102" s="18">
        <v>70</v>
      </c>
      <c r="M102" s="18">
        <v>85</v>
      </c>
      <c r="N102" s="18">
        <v>37</v>
      </c>
      <c r="O102" s="18" t="s">
        <v>820</v>
      </c>
      <c r="P102" s="13" t="s">
        <v>253</v>
      </c>
      <c r="Q102" t="str">
        <f>IFERROR(VLOOKUP(P102,MoveData[],3,FALSE),"")</f>
        <v>Grass</v>
      </c>
      <c r="R102" t="str">
        <f>IFERROR(VLOOKUP(P102,MoveData[],4,FALSE),"")</f>
        <v>Physical</v>
      </c>
      <c r="S102" s="14">
        <v>80</v>
      </c>
      <c r="T102" s="15">
        <v>100</v>
      </c>
      <c r="U102" s="13" t="s">
        <v>381</v>
      </c>
      <c r="V102" t="str">
        <f>IFERROR(VLOOKUP(U102,MoveData[],3,FALSE),"")</f>
        <v>Dark</v>
      </c>
      <c r="W102" t="str">
        <f>IFERROR(VLOOKUP(U102,MoveData[],4,FALSE),"")</f>
        <v>Physical</v>
      </c>
      <c r="X102" s="14">
        <v>65</v>
      </c>
      <c r="Y102" s="15">
        <v>100</v>
      </c>
      <c r="Z102" s="13" t="s">
        <v>551</v>
      </c>
      <c r="AA102" t="str">
        <f>IFERROR(VLOOKUP(Z102,MoveData[],3,FALSE),"")</f>
        <v>Normal</v>
      </c>
      <c r="AB102" t="str">
        <f>IFERROR(VLOOKUP(Z102,MoveData[],4,FALSE),"")</f>
        <v>Physical</v>
      </c>
      <c r="AC102" s="14">
        <v>80</v>
      </c>
      <c r="AD102" s="15">
        <v>75</v>
      </c>
      <c r="AE102" s="13" t="s">
        <v>189</v>
      </c>
      <c r="AF102" t="str">
        <f>IFERROR(VLOOKUP(AE102,MoveData[],3,FALSE),"")</f>
        <v>Dark</v>
      </c>
      <c r="AG102" t="str">
        <f>IFERROR(VLOOKUP(AE102,MoveData[],4,FALSE),"")</f>
        <v>Physical</v>
      </c>
      <c r="AH102" s="14">
        <v>60</v>
      </c>
      <c r="AI102" s="15">
        <v>100</v>
      </c>
      <c r="AJ102" s="13" t="s">
        <v>842</v>
      </c>
      <c r="AK102" s="13" t="s">
        <v>843</v>
      </c>
    </row>
    <row r="103" spans="1:37">
      <c r="A103" s="13" t="s">
        <v>670</v>
      </c>
      <c r="B103" s="13" t="s">
        <v>1054</v>
      </c>
      <c r="C103" s="13">
        <v>9</v>
      </c>
      <c r="D103" s="13">
        <v>1</v>
      </c>
      <c r="E103" s="13" t="s">
        <v>698</v>
      </c>
      <c r="F103" s="13" t="s">
        <v>32</v>
      </c>
      <c r="G103" s="13"/>
      <c r="H103" s="18">
        <v>72</v>
      </c>
      <c r="I103" s="18">
        <v>80</v>
      </c>
      <c r="J103" s="18">
        <v>100</v>
      </c>
      <c r="K103" s="18">
        <v>60</v>
      </c>
      <c r="L103" s="18">
        <v>90</v>
      </c>
      <c r="M103" s="18">
        <v>88</v>
      </c>
      <c r="N103" s="18">
        <v>59</v>
      </c>
      <c r="O103" s="18" t="s">
        <v>820</v>
      </c>
      <c r="P103" s="13" t="s">
        <v>97</v>
      </c>
      <c r="Q103" t="str">
        <f>IFERROR(VLOOKUP(P103,MoveData[],3,FALSE),"")</f>
        <v>Fighting</v>
      </c>
      <c r="R103" t="str">
        <f>IFERROR(VLOOKUP(P103,MoveData[],4,FALSE),"")</f>
        <v>Physical</v>
      </c>
      <c r="S103" s="14">
        <v>30</v>
      </c>
      <c r="T103" s="15">
        <v>100</v>
      </c>
      <c r="U103" s="13" t="s">
        <v>237</v>
      </c>
      <c r="V103" t="str">
        <f>IFERROR(VLOOKUP(U103,MoveData[],3,FALSE),"")</f>
        <v>Normal</v>
      </c>
      <c r="W103" t="str">
        <f>IFERROR(VLOOKUP(U103,MoveData[],4,FALSE),"")</f>
        <v>Physical</v>
      </c>
      <c r="X103" s="14">
        <v>120</v>
      </c>
      <c r="Y103" s="15">
        <v>100</v>
      </c>
      <c r="Z103" s="13" t="s">
        <v>341</v>
      </c>
      <c r="AA103" t="str">
        <f>IFERROR(VLOOKUP(Z103,MoveData[],3,FALSE),"")</f>
        <v>Normal</v>
      </c>
      <c r="AB103" t="str">
        <f>IFERROR(VLOOKUP(Z103,MoveData[],4,FALSE),"")</f>
        <v>Physical</v>
      </c>
      <c r="AC103" s="14">
        <v>70</v>
      </c>
      <c r="AD103" s="15">
        <v>100</v>
      </c>
      <c r="AE103" s="13" t="s">
        <v>718</v>
      </c>
      <c r="AF103" t="str">
        <f>IFERROR(VLOOKUP(AE103,MoveData[],3,FALSE),"")</f>
        <v>Grass</v>
      </c>
      <c r="AG103" t="str">
        <f>IFERROR(VLOOKUP(AE103,MoveData[],4,FALSE),"")</f>
        <v>Status</v>
      </c>
      <c r="AH103" s="14">
        <v>0</v>
      </c>
      <c r="AI103" s="15">
        <v>100</v>
      </c>
      <c r="AJ103" s="13" t="s">
        <v>841</v>
      </c>
      <c r="AK103" s="13" t="s">
        <v>837</v>
      </c>
    </row>
    <row r="104" spans="1:37">
      <c r="A104" s="13" t="s">
        <v>670</v>
      </c>
      <c r="B104" s="13" t="s">
        <v>1054</v>
      </c>
      <c r="C104" s="13">
        <v>9</v>
      </c>
      <c r="D104" s="13">
        <v>2</v>
      </c>
      <c r="E104" s="13" t="s">
        <v>699</v>
      </c>
      <c r="F104" s="13" t="s">
        <v>35</v>
      </c>
      <c r="G104" s="13" t="s">
        <v>24</v>
      </c>
      <c r="H104" s="18">
        <v>98</v>
      </c>
      <c r="I104" s="18">
        <v>87</v>
      </c>
      <c r="J104" s="18">
        <v>105</v>
      </c>
      <c r="K104" s="18">
        <v>53</v>
      </c>
      <c r="L104" s="18">
        <v>85</v>
      </c>
      <c r="M104" s="18">
        <v>67</v>
      </c>
      <c r="N104" s="18">
        <v>59</v>
      </c>
      <c r="O104" s="18" t="s">
        <v>820</v>
      </c>
      <c r="P104" s="13" t="s">
        <v>582</v>
      </c>
      <c r="Q104" t="str">
        <f>IFERROR(VLOOKUP(P104,MoveData[],3,FALSE),"")</f>
        <v>Steel</v>
      </c>
      <c r="R104" t="str">
        <f>IFERROR(VLOOKUP(P104,MoveData[],4,FALSE),"")</f>
        <v>Physical</v>
      </c>
      <c r="S104" s="14">
        <v>70</v>
      </c>
      <c r="T104" s="15">
        <v>90</v>
      </c>
      <c r="U104" s="13" t="s">
        <v>252</v>
      </c>
      <c r="V104" t="str">
        <f>IFERROR(VLOOKUP(U104,MoveData[],3,FALSE),"")</f>
        <v>Flying</v>
      </c>
      <c r="W104" t="str">
        <f>IFERROR(VLOOKUP(U104,MoveData[],4,FALSE),"")</f>
        <v>Physical</v>
      </c>
      <c r="X104" s="14">
        <v>80</v>
      </c>
      <c r="Y104" s="15">
        <v>100</v>
      </c>
      <c r="Z104" s="13" t="s">
        <v>185</v>
      </c>
      <c r="AA104" t="str">
        <f>IFERROR(VLOOKUP(Z104,MoveData[],3,FALSE),"")</f>
        <v>Flying</v>
      </c>
      <c r="AB104" t="str">
        <f>IFERROR(VLOOKUP(Z104,MoveData[],4,FALSE),"")</f>
        <v>Physical</v>
      </c>
      <c r="AC104" s="14">
        <v>120</v>
      </c>
      <c r="AD104" s="15">
        <v>100</v>
      </c>
      <c r="AE104" s="13" t="s">
        <v>700</v>
      </c>
      <c r="AF104" t="str">
        <f>IFERROR(VLOOKUP(AE104,MoveData[],3,FALSE),"")</f>
        <v>Normal</v>
      </c>
      <c r="AG104" t="str">
        <f>IFERROR(VLOOKUP(AE104,MoveData[],4,FALSE),"")</f>
        <v>Status</v>
      </c>
      <c r="AH104" s="14">
        <v>0</v>
      </c>
      <c r="AI104" s="15">
        <v>100</v>
      </c>
      <c r="AJ104" s="13" t="s">
        <v>887</v>
      </c>
      <c r="AK104" s="13" t="s">
        <v>837</v>
      </c>
    </row>
    <row r="105" spans="1:37">
      <c r="A105" s="13" t="s">
        <v>670</v>
      </c>
      <c r="B105" s="13" t="s">
        <v>1054</v>
      </c>
      <c r="C105" s="13">
        <v>9</v>
      </c>
      <c r="D105" s="13">
        <v>3</v>
      </c>
      <c r="E105" s="13" t="s">
        <v>701</v>
      </c>
      <c r="F105" s="13" t="s">
        <v>41</v>
      </c>
      <c r="G105" s="13"/>
      <c r="H105" s="18">
        <v>48</v>
      </c>
      <c r="I105" s="18">
        <v>101</v>
      </c>
      <c r="J105" s="18">
        <v>95</v>
      </c>
      <c r="K105" s="18">
        <v>91</v>
      </c>
      <c r="L105" s="18">
        <v>85</v>
      </c>
      <c r="M105" s="18">
        <v>15</v>
      </c>
      <c r="N105" s="18">
        <v>58</v>
      </c>
      <c r="O105" s="18" t="s">
        <v>820</v>
      </c>
      <c r="P105" s="13" t="s">
        <v>655</v>
      </c>
      <c r="Q105" t="str">
        <f>IFERROR(VLOOKUP(P105,MoveData[],3,FALSE),"")</f>
        <v>Electric</v>
      </c>
      <c r="R105" t="str">
        <f>IFERROR(VLOOKUP(P105,MoveData[],4,FALSE),"")</f>
        <v>Physical</v>
      </c>
      <c r="S105" s="14">
        <v>80</v>
      </c>
      <c r="T105" s="15">
        <v>100</v>
      </c>
      <c r="U105" s="13" t="s">
        <v>467</v>
      </c>
      <c r="V105" t="str">
        <f>IFERROR(VLOOKUP(U105,MoveData[],3,FALSE),"")</f>
        <v>Poison</v>
      </c>
      <c r="W105" t="str">
        <f>IFERROR(VLOOKUP(U105,MoveData[],4,FALSE),"")</f>
        <v>Physical</v>
      </c>
      <c r="X105" s="14">
        <v>80</v>
      </c>
      <c r="Y105" s="15">
        <v>100</v>
      </c>
      <c r="Z105" s="13" t="s">
        <v>191</v>
      </c>
      <c r="AA105" t="str">
        <f>IFERROR(VLOOKUP(Z105,MoveData[],3,FALSE),"")</f>
        <v>Water</v>
      </c>
      <c r="AB105" t="str">
        <f>IFERROR(VLOOKUP(Z105,MoveData[],4,FALSE),"")</f>
        <v>Special</v>
      </c>
      <c r="AC105" s="14">
        <v>65</v>
      </c>
      <c r="AD105" s="15">
        <v>100</v>
      </c>
      <c r="AE105" s="13" t="s">
        <v>107</v>
      </c>
      <c r="AF105" t="str">
        <f>IFERROR(VLOOKUP(AE105,MoveData[],3,FALSE),"")</f>
        <v>Normal</v>
      </c>
      <c r="AG105" t="str">
        <f>IFERROR(VLOOKUP(AE105,MoveData[],4,FALSE),"")</f>
        <v>Physical</v>
      </c>
      <c r="AH105" s="14">
        <v>15</v>
      </c>
      <c r="AI105" s="15">
        <v>85</v>
      </c>
      <c r="AJ105" s="13" t="s">
        <v>888</v>
      </c>
      <c r="AK105" s="13" t="s">
        <v>837</v>
      </c>
    </row>
    <row r="106" spans="1:37">
      <c r="A106" s="13" t="s">
        <v>670</v>
      </c>
      <c r="B106" s="13" t="s">
        <v>1054</v>
      </c>
      <c r="C106" s="13">
        <v>9</v>
      </c>
      <c r="D106" s="13">
        <v>4</v>
      </c>
      <c r="E106" s="13" t="s">
        <v>693</v>
      </c>
      <c r="F106" s="13" t="s">
        <v>32</v>
      </c>
      <c r="G106" s="13"/>
      <c r="H106" s="18">
        <v>160</v>
      </c>
      <c r="I106" s="18">
        <v>110</v>
      </c>
      <c r="J106" s="18">
        <v>65</v>
      </c>
      <c r="K106" s="18">
        <v>65</v>
      </c>
      <c r="L106" s="18">
        <v>110</v>
      </c>
      <c r="M106" s="18">
        <v>30</v>
      </c>
      <c r="N106" s="18">
        <v>58</v>
      </c>
      <c r="O106" s="18" t="s">
        <v>820</v>
      </c>
      <c r="P106" s="13" t="s">
        <v>338</v>
      </c>
      <c r="Q106" t="str">
        <f>IFERROR(VLOOKUP(P106,MoveData[],3,FALSE),"")</f>
        <v>Fighting</v>
      </c>
      <c r="R106" t="str">
        <f>IFERROR(VLOOKUP(P106,MoveData[],4,FALSE),"")</f>
        <v>Physical</v>
      </c>
      <c r="S106" s="14">
        <v>100</v>
      </c>
      <c r="T106" s="15">
        <v>90</v>
      </c>
      <c r="U106" s="13" t="s">
        <v>349</v>
      </c>
      <c r="V106" t="str">
        <f>IFERROR(VLOOKUP(U106,MoveData[],3,FALSE),"")</f>
        <v>Ground</v>
      </c>
      <c r="W106" t="str">
        <f>IFERROR(VLOOKUP(U106,MoveData[],4,FALSE),"")</f>
        <v>Physical</v>
      </c>
      <c r="X106" s="14">
        <v>95</v>
      </c>
      <c r="Y106" s="15">
        <v>95</v>
      </c>
      <c r="Z106" s="13" t="s">
        <v>346</v>
      </c>
      <c r="AA106" t="str">
        <f>IFERROR(VLOOKUP(Z106,MoveData[],3,FALSE),"")</f>
        <v>Steel</v>
      </c>
      <c r="AB106" t="str">
        <f>IFERROR(VLOOKUP(Z106,MoveData[],4,FALSE),"")</f>
        <v>Physical</v>
      </c>
      <c r="AC106" s="14">
        <v>0</v>
      </c>
      <c r="AD106" s="15">
        <v>100</v>
      </c>
      <c r="AE106" s="13" t="s">
        <v>37</v>
      </c>
      <c r="AF106" t="str">
        <f>IFERROR(VLOOKUP(AE106,MoveData[],3,FALSE),"")</f>
        <v>Dark</v>
      </c>
      <c r="AG106" t="str">
        <f>IFERROR(VLOOKUP(AE106,MoveData[],4,FALSE),"")</f>
        <v>Physical</v>
      </c>
      <c r="AH106" s="14">
        <v>80</v>
      </c>
      <c r="AI106" s="15">
        <v>100</v>
      </c>
      <c r="AJ106" s="13" t="s">
        <v>889</v>
      </c>
      <c r="AK106" s="13" t="s">
        <v>837</v>
      </c>
    </row>
    <row r="107" spans="1:37">
      <c r="A107" s="13" t="s">
        <v>670</v>
      </c>
      <c r="B107" s="13" t="s">
        <v>1054</v>
      </c>
      <c r="C107" s="13">
        <v>9</v>
      </c>
      <c r="D107" s="13">
        <v>5</v>
      </c>
      <c r="E107" s="13" t="s">
        <v>683</v>
      </c>
      <c r="F107" s="13" t="s">
        <v>35</v>
      </c>
      <c r="G107" s="13" t="s">
        <v>34</v>
      </c>
      <c r="H107" s="18">
        <v>70</v>
      </c>
      <c r="I107" s="18">
        <v>85</v>
      </c>
      <c r="J107" s="18">
        <v>55</v>
      </c>
      <c r="K107" s="18">
        <v>85</v>
      </c>
      <c r="L107" s="18">
        <v>95</v>
      </c>
      <c r="M107" s="18">
        <v>85</v>
      </c>
      <c r="N107" s="18">
        <v>58</v>
      </c>
      <c r="O107" s="18" t="s">
        <v>820</v>
      </c>
      <c r="P107" s="13" t="s">
        <v>231</v>
      </c>
      <c r="Q107" t="str">
        <f>IFERROR(VLOOKUP(P107,MoveData[],3,FALSE),"")</f>
        <v>Water</v>
      </c>
      <c r="R107" t="str">
        <f>IFERROR(VLOOKUP(P107,MoveData[],4,FALSE),"")</f>
        <v>Physical</v>
      </c>
      <c r="S107" s="14">
        <v>80</v>
      </c>
      <c r="T107" s="15">
        <v>100</v>
      </c>
      <c r="U107" s="13" t="s">
        <v>252</v>
      </c>
      <c r="V107" t="str">
        <f>IFERROR(VLOOKUP(U107,MoveData[],3,FALSE),"")</f>
        <v>Flying</v>
      </c>
      <c r="W107" t="str">
        <f>IFERROR(VLOOKUP(U107,MoveData[],4,FALSE),"")</f>
        <v>Physical</v>
      </c>
      <c r="X107" s="14">
        <v>80</v>
      </c>
      <c r="Y107" s="15">
        <v>100</v>
      </c>
      <c r="Z107" s="13" t="s">
        <v>121</v>
      </c>
      <c r="AA107" t="str">
        <f>IFERROR(VLOOKUP(Z107,MoveData[],3,FALSE),"")</f>
        <v>Dark</v>
      </c>
      <c r="AB107" t="str">
        <f>IFERROR(VLOOKUP(Z107,MoveData[],4,FALSE),"")</f>
        <v>Physical</v>
      </c>
      <c r="AC107" s="14">
        <v>80</v>
      </c>
      <c r="AD107" s="15">
        <v>100</v>
      </c>
      <c r="AE107" s="13" t="s">
        <v>582</v>
      </c>
      <c r="AF107" t="str">
        <f>IFERROR(VLOOKUP(AE107,MoveData[],3,FALSE),"")</f>
        <v>Steel</v>
      </c>
      <c r="AG107" t="str">
        <f>IFERROR(VLOOKUP(AE107,MoveData[],4,FALSE),"")</f>
        <v>Physical</v>
      </c>
      <c r="AH107" s="14">
        <v>70</v>
      </c>
      <c r="AI107" s="15">
        <v>90</v>
      </c>
      <c r="AJ107" s="13" t="s">
        <v>885</v>
      </c>
      <c r="AK107" s="13" t="s">
        <v>839</v>
      </c>
    </row>
    <row r="108" spans="1:37">
      <c r="A108" s="13" t="s">
        <v>670</v>
      </c>
      <c r="B108" s="13" t="s">
        <v>1054</v>
      </c>
      <c r="C108" s="13">
        <v>9</v>
      </c>
      <c r="D108" s="13">
        <v>6</v>
      </c>
      <c r="E108" s="13" t="s">
        <v>696</v>
      </c>
      <c r="F108" s="13" t="s">
        <v>43</v>
      </c>
      <c r="G108" s="13"/>
      <c r="H108" s="18">
        <v>100</v>
      </c>
      <c r="I108" s="18">
        <v>125</v>
      </c>
      <c r="J108" s="18">
        <v>90</v>
      </c>
      <c r="K108" s="18">
        <v>60</v>
      </c>
      <c r="L108" s="18">
        <v>70</v>
      </c>
      <c r="M108" s="18">
        <v>85</v>
      </c>
      <c r="N108" s="18">
        <v>60</v>
      </c>
      <c r="O108" s="18" t="s">
        <v>820</v>
      </c>
      <c r="P108" s="13" t="s">
        <v>253</v>
      </c>
      <c r="Q108" t="str">
        <f>IFERROR(VLOOKUP(P108,MoveData[],3,FALSE),"")</f>
        <v>Grass</v>
      </c>
      <c r="R108" t="str">
        <f>IFERROR(VLOOKUP(P108,MoveData[],4,FALSE),"")</f>
        <v>Physical</v>
      </c>
      <c r="S108" s="14">
        <v>80</v>
      </c>
      <c r="T108" s="15">
        <v>100</v>
      </c>
      <c r="U108" s="13" t="s">
        <v>551</v>
      </c>
      <c r="V108" t="str">
        <f>IFERROR(VLOOKUP(U108,MoveData[],3,FALSE),"")</f>
        <v>Normal</v>
      </c>
      <c r="W108" t="str">
        <f>IFERROR(VLOOKUP(U108,MoveData[],4,FALSE),"")</f>
        <v>Physical</v>
      </c>
      <c r="X108" s="14">
        <v>80</v>
      </c>
      <c r="Y108" s="15">
        <v>75</v>
      </c>
      <c r="Z108" s="13" t="s">
        <v>381</v>
      </c>
      <c r="AA108" t="str">
        <f>IFERROR(VLOOKUP(Z108,MoveData[],3,FALSE),"")</f>
        <v>Dark</v>
      </c>
      <c r="AB108" t="str">
        <f>IFERROR(VLOOKUP(Z108,MoveData[],4,FALSE),"")</f>
        <v>Physical</v>
      </c>
      <c r="AC108" s="14">
        <v>65</v>
      </c>
      <c r="AD108" s="15">
        <v>100</v>
      </c>
      <c r="AE108" s="13" t="s">
        <v>628</v>
      </c>
      <c r="AF108" t="str">
        <f>IFERROR(VLOOKUP(AE108,MoveData[],3,FALSE),"")</f>
        <v>Normal</v>
      </c>
      <c r="AG108" t="str">
        <f>IFERROR(VLOOKUP(AE108,MoveData[],4,FALSE),"")</f>
        <v>Special</v>
      </c>
      <c r="AH108" s="14">
        <v>90</v>
      </c>
      <c r="AI108" s="15">
        <v>100</v>
      </c>
      <c r="AJ108" s="13" t="s">
        <v>842</v>
      </c>
      <c r="AK108" s="13" t="s">
        <v>843</v>
      </c>
    </row>
    <row r="109" spans="1:37">
      <c r="A109" s="13" t="s">
        <v>670</v>
      </c>
      <c r="B109" s="13" t="s">
        <v>99</v>
      </c>
      <c r="C109" s="13">
        <v>8</v>
      </c>
      <c r="D109" s="13">
        <v>1</v>
      </c>
      <c r="E109" s="13" t="s">
        <v>698</v>
      </c>
      <c r="F109" s="13" t="s">
        <v>32</v>
      </c>
      <c r="G109" s="13"/>
      <c r="H109" s="18">
        <v>72</v>
      </c>
      <c r="I109" s="18">
        <v>80</v>
      </c>
      <c r="J109" s="18">
        <v>100</v>
      </c>
      <c r="K109" s="18">
        <v>60</v>
      </c>
      <c r="L109" s="18">
        <v>90</v>
      </c>
      <c r="M109" s="18">
        <v>88</v>
      </c>
      <c r="N109" s="18">
        <v>48</v>
      </c>
      <c r="O109" s="18" t="s">
        <v>820</v>
      </c>
      <c r="P109" s="13" t="s">
        <v>504</v>
      </c>
      <c r="Q109" t="str">
        <f>IFERROR(VLOOKUP(P109,MoveData[],3,FALSE),"")</f>
        <v>Fighting</v>
      </c>
      <c r="R109" t="str">
        <f>IFERROR(VLOOKUP(P109,MoveData[],4,FALSE),"")</f>
        <v>Physical</v>
      </c>
      <c r="S109" s="14">
        <v>0</v>
      </c>
      <c r="T109" s="15">
        <v>100</v>
      </c>
      <c r="U109" s="13" t="s">
        <v>654</v>
      </c>
      <c r="V109" t="str">
        <f>IFERROR(VLOOKUP(U109,MoveData[],3,FALSE),"")</f>
        <v>Psychic</v>
      </c>
      <c r="W109" t="str">
        <f>IFERROR(VLOOKUP(U109,MoveData[],4,FALSE),"")</f>
        <v>Physical</v>
      </c>
      <c r="X109" s="14">
        <v>80</v>
      </c>
      <c r="Y109" s="15">
        <v>90</v>
      </c>
      <c r="Z109" s="13" t="s">
        <v>175</v>
      </c>
      <c r="AA109" t="str">
        <f>IFERROR(VLOOKUP(Z109,MoveData[],3,FALSE),"")</f>
        <v>Normal</v>
      </c>
      <c r="AB109" t="str">
        <f>IFERROR(VLOOKUP(Z109,MoveData[],4,FALSE),"")</f>
        <v>Physical</v>
      </c>
      <c r="AC109" s="14">
        <v>85</v>
      </c>
      <c r="AD109" s="15">
        <v>100</v>
      </c>
      <c r="AE109" s="13" t="s">
        <v>718</v>
      </c>
      <c r="AF109" t="str">
        <f>IFERROR(VLOOKUP(AE109,MoveData[],3,FALSE),"")</f>
        <v>Grass</v>
      </c>
      <c r="AG109" t="str">
        <f>IFERROR(VLOOKUP(AE109,MoveData[],4,FALSE),"")</f>
        <v>Status</v>
      </c>
      <c r="AH109" s="14">
        <v>0</v>
      </c>
      <c r="AI109" s="15">
        <v>100</v>
      </c>
      <c r="AJ109" s="13" t="s">
        <v>841</v>
      </c>
      <c r="AK109" s="13" t="s">
        <v>837</v>
      </c>
    </row>
    <row r="110" spans="1:37">
      <c r="A110" s="13" t="s">
        <v>670</v>
      </c>
      <c r="B110" s="13" t="s">
        <v>99</v>
      </c>
      <c r="C110" s="13">
        <v>8</v>
      </c>
      <c r="D110" s="13">
        <v>2</v>
      </c>
      <c r="E110" s="13" t="s">
        <v>699</v>
      </c>
      <c r="F110" s="13" t="s">
        <v>35</v>
      </c>
      <c r="G110" s="13" t="s">
        <v>24</v>
      </c>
      <c r="H110" s="18">
        <v>98</v>
      </c>
      <c r="I110" s="18">
        <v>87</v>
      </c>
      <c r="J110" s="18">
        <v>105</v>
      </c>
      <c r="K110" s="18">
        <v>53</v>
      </c>
      <c r="L110" s="18">
        <v>85</v>
      </c>
      <c r="M110" s="18">
        <v>67</v>
      </c>
      <c r="N110" s="18">
        <v>48</v>
      </c>
      <c r="O110" s="18" t="s">
        <v>820</v>
      </c>
      <c r="P110" s="13" t="s">
        <v>582</v>
      </c>
      <c r="Q110" t="str">
        <f>IFERROR(VLOOKUP(P110,MoveData[],3,FALSE),"")</f>
        <v>Steel</v>
      </c>
      <c r="R110" t="str">
        <f>IFERROR(VLOOKUP(P110,MoveData[],4,FALSE),"")</f>
        <v>Physical</v>
      </c>
      <c r="S110" s="14">
        <v>70</v>
      </c>
      <c r="T110" s="15">
        <v>90</v>
      </c>
      <c r="U110" s="13" t="s">
        <v>252</v>
      </c>
      <c r="V110" t="str">
        <f>IFERROR(VLOOKUP(U110,MoveData[],3,FALSE),"")</f>
        <v>Flying</v>
      </c>
      <c r="W110" t="str">
        <f>IFERROR(VLOOKUP(U110,MoveData[],4,FALSE),"")</f>
        <v>Physical</v>
      </c>
      <c r="X110" s="14">
        <v>80</v>
      </c>
      <c r="Y110" s="15">
        <v>100</v>
      </c>
      <c r="Z110" s="13" t="s">
        <v>700</v>
      </c>
      <c r="AA110" t="str">
        <f>IFERROR(VLOOKUP(Z110,MoveData[],3,FALSE),"")</f>
        <v>Normal</v>
      </c>
      <c r="AB110" t="str">
        <f>IFERROR(VLOOKUP(Z110,MoveData[],4,FALSE),"")</f>
        <v>Status</v>
      </c>
      <c r="AC110" s="14">
        <v>0</v>
      </c>
      <c r="AD110" s="15">
        <v>100</v>
      </c>
      <c r="AE110" s="13" t="s">
        <v>719</v>
      </c>
      <c r="AF110" t="str">
        <f>IFERROR(VLOOKUP(AE110,MoveData[],3,FALSE),"")</f>
        <v>Normal</v>
      </c>
      <c r="AG110" t="str">
        <f>IFERROR(VLOOKUP(AE110,MoveData[],4,FALSE),"")</f>
        <v>Status</v>
      </c>
      <c r="AH110" s="14">
        <v>0</v>
      </c>
      <c r="AI110" s="15">
        <v>85</v>
      </c>
      <c r="AJ110" s="13" t="s">
        <v>887</v>
      </c>
      <c r="AK110" s="13" t="s">
        <v>837</v>
      </c>
    </row>
    <row r="111" spans="1:37">
      <c r="A111" s="13" t="s">
        <v>670</v>
      </c>
      <c r="B111" s="13" t="s">
        <v>99</v>
      </c>
      <c r="C111" s="13">
        <v>8</v>
      </c>
      <c r="D111" s="13">
        <v>3</v>
      </c>
      <c r="E111" s="13" t="s">
        <v>701</v>
      </c>
      <c r="F111" s="13" t="s">
        <v>41</v>
      </c>
      <c r="G111" s="13"/>
      <c r="H111" s="18">
        <v>48</v>
      </c>
      <c r="I111" s="18">
        <v>101</v>
      </c>
      <c r="J111" s="18">
        <v>95</v>
      </c>
      <c r="K111" s="18">
        <v>91</v>
      </c>
      <c r="L111" s="18">
        <v>85</v>
      </c>
      <c r="M111" s="18">
        <v>15</v>
      </c>
      <c r="N111" s="18">
        <v>47</v>
      </c>
      <c r="O111" s="18" t="s">
        <v>820</v>
      </c>
      <c r="P111" s="13" t="s">
        <v>617</v>
      </c>
      <c r="Q111" t="str">
        <f>IFERROR(VLOOKUP(P111,MoveData[],3,FALSE),"")</f>
        <v>Electric</v>
      </c>
      <c r="R111" t="str">
        <f>IFERROR(VLOOKUP(P111,MoveData[],4,FALSE),"")</f>
        <v>Special</v>
      </c>
      <c r="S111" s="14">
        <v>90</v>
      </c>
      <c r="T111" s="15">
        <v>100</v>
      </c>
      <c r="U111" s="13" t="s">
        <v>467</v>
      </c>
      <c r="V111" t="str">
        <f>IFERROR(VLOOKUP(U111,MoveData[],3,FALSE),"")</f>
        <v>Poison</v>
      </c>
      <c r="W111" t="str">
        <f>IFERROR(VLOOKUP(U111,MoveData[],4,FALSE),"")</f>
        <v>Physical</v>
      </c>
      <c r="X111" s="14">
        <v>80</v>
      </c>
      <c r="Y111" s="15">
        <v>100</v>
      </c>
      <c r="Z111" s="13" t="s">
        <v>702</v>
      </c>
      <c r="AA111" t="str">
        <f>IFERROR(VLOOKUP(Z111,MoveData[],3,FALSE),"")</f>
        <v>Ghost</v>
      </c>
      <c r="AB111" t="str">
        <f>IFERROR(VLOOKUP(Z111,MoveData[],4,FALSE),"")</f>
        <v>Status</v>
      </c>
      <c r="AC111" s="14">
        <v>0</v>
      </c>
      <c r="AD111" s="15">
        <v>100</v>
      </c>
      <c r="AE111" s="13"/>
      <c r="AF111" t="str">
        <f>IFERROR(VLOOKUP(AE111,MoveData[],3,FALSE),"")</f>
        <v/>
      </c>
      <c r="AG111" t="str">
        <f>IFERROR(VLOOKUP(AE111,MoveData[],4,FALSE),"")</f>
        <v/>
      </c>
      <c r="AH111" s="14">
        <v>0</v>
      </c>
      <c r="AI111" s="15">
        <v>100</v>
      </c>
      <c r="AJ111" s="13" t="s">
        <v>888</v>
      </c>
      <c r="AK111" s="13" t="s">
        <v>837</v>
      </c>
    </row>
    <row r="112" spans="1:37">
      <c r="A112" s="13" t="s">
        <v>670</v>
      </c>
      <c r="B112" s="13" t="s">
        <v>99</v>
      </c>
      <c r="C112" s="13">
        <v>8</v>
      </c>
      <c r="D112" s="13">
        <v>4</v>
      </c>
      <c r="E112" s="13" t="s">
        <v>693</v>
      </c>
      <c r="F112" s="13" t="s">
        <v>32</v>
      </c>
      <c r="G112" s="13"/>
      <c r="H112" s="18">
        <v>160</v>
      </c>
      <c r="I112" s="18">
        <v>110</v>
      </c>
      <c r="J112" s="18">
        <v>65</v>
      </c>
      <c r="K112" s="18">
        <v>65</v>
      </c>
      <c r="L112" s="18">
        <v>110</v>
      </c>
      <c r="M112" s="18">
        <v>30</v>
      </c>
      <c r="N112" s="18">
        <v>47</v>
      </c>
      <c r="O112" s="18" t="s">
        <v>820</v>
      </c>
      <c r="P112" s="13" t="s">
        <v>346</v>
      </c>
      <c r="Q112" t="str">
        <f>IFERROR(VLOOKUP(P112,MoveData[],3,FALSE),"")</f>
        <v>Steel</v>
      </c>
      <c r="R112" t="str">
        <f>IFERROR(VLOOKUP(P112,MoveData[],4,FALSE),"")</f>
        <v>Physical</v>
      </c>
      <c r="S112" s="14">
        <v>0</v>
      </c>
      <c r="T112" s="15">
        <v>100</v>
      </c>
      <c r="U112" s="13" t="s">
        <v>349</v>
      </c>
      <c r="V112" t="str">
        <f>IFERROR(VLOOKUP(U112,MoveData[],3,FALSE),"")</f>
        <v>Ground</v>
      </c>
      <c r="W112" t="str">
        <f>IFERROR(VLOOKUP(U112,MoveData[],4,FALSE),"")</f>
        <v>Physical</v>
      </c>
      <c r="X112" s="14">
        <v>95</v>
      </c>
      <c r="Y112" s="15">
        <v>95</v>
      </c>
      <c r="Z112" s="13" t="s">
        <v>338</v>
      </c>
      <c r="AA112" t="str">
        <f>IFERROR(VLOOKUP(Z112,MoveData[],3,FALSE),"")</f>
        <v>Fighting</v>
      </c>
      <c r="AB112" t="str">
        <f>IFERROR(VLOOKUP(Z112,MoveData[],4,FALSE),"")</f>
        <v>Physical</v>
      </c>
      <c r="AC112" s="14">
        <v>100</v>
      </c>
      <c r="AD112" s="15">
        <v>90</v>
      </c>
      <c r="AE112" s="13"/>
      <c r="AF112" t="str">
        <f>IFERROR(VLOOKUP(AE112,MoveData[],3,FALSE),"")</f>
        <v/>
      </c>
      <c r="AG112" t="str">
        <f>IFERROR(VLOOKUP(AE112,MoveData[],4,FALSE),"")</f>
        <v/>
      </c>
      <c r="AH112" s="14">
        <v>0</v>
      </c>
      <c r="AI112" s="15">
        <v>100</v>
      </c>
      <c r="AJ112" s="13" t="s">
        <v>889</v>
      </c>
      <c r="AK112" s="13" t="s">
        <v>837</v>
      </c>
    </row>
    <row r="113" spans="1:37">
      <c r="A113" s="13" t="s">
        <v>670</v>
      </c>
      <c r="B113" s="13" t="s">
        <v>99</v>
      </c>
      <c r="C113" s="13">
        <v>8</v>
      </c>
      <c r="D113" s="13">
        <v>5</v>
      </c>
      <c r="E113" s="13" t="s">
        <v>696</v>
      </c>
      <c r="F113" s="13" t="s">
        <v>43</v>
      </c>
      <c r="G113" s="13"/>
      <c r="H113" s="18">
        <v>100</v>
      </c>
      <c r="I113" s="18">
        <v>125</v>
      </c>
      <c r="J113" s="18">
        <v>90</v>
      </c>
      <c r="K113" s="18">
        <v>60</v>
      </c>
      <c r="L113" s="18">
        <v>70</v>
      </c>
      <c r="M113" s="18">
        <v>85</v>
      </c>
      <c r="N113" s="18">
        <v>49</v>
      </c>
      <c r="O113" s="18" t="s">
        <v>820</v>
      </c>
      <c r="P113" s="13" t="s">
        <v>63</v>
      </c>
      <c r="Q113" t="s">
        <v>43</v>
      </c>
      <c r="R113" t="s">
        <v>31</v>
      </c>
      <c r="S113" s="14">
        <v>130</v>
      </c>
      <c r="T113" s="15">
        <v>100</v>
      </c>
      <c r="U113" s="13" t="s">
        <v>413</v>
      </c>
      <c r="V113" t="s">
        <v>23</v>
      </c>
      <c r="W113" t="s">
        <v>31</v>
      </c>
      <c r="X113" s="14">
        <v>130</v>
      </c>
      <c r="Y113" s="15">
        <v>100</v>
      </c>
      <c r="Z113" s="13" t="s">
        <v>115</v>
      </c>
      <c r="AA113" t="s">
        <v>38</v>
      </c>
      <c r="AB113" t="s">
        <v>31</v>
      </c>
      <c r="AC113" s="14">
        <v>120</v>
      </c>
      <c r="AD113" s="15">
        <v>100</v>
      </c>
      <c r="AE113" s="13" t="s">
        <v>64</v>
      </c>
      <c r="AF113" t="s">
        <v>32</v>
      </c>
      <c r="AG113" t="s">
        <v>31</v>
      </c>
      <c r="AH113" s="14">
        <v>130</v>
      </c>
      <c r="AI113" s="15">
        <v>100</v>
      </c>
      <c r="AJ113" s="13" t="s">
        <v>842</v>
      </c>
      <c r="AK113" s="13" t="s">
        <v>843</v>
      </c>
    </row>
    <row r="114" spans="1:37">
      <c r="A114" s="13" t="s">
        <v>670</v>
      </c>
      <c r="B114" s="13" t="s">
        <v>1055</v>
      </c>
      <c r="C114" s="13">
        <v>10</v>
      </c>
      <c r="D114" s="13">
        <v>1</v>
      </c>
      <c r="E114" s="13" t="s">
        <v>698</v>
      </c>
      <c r="F114" s="13" t="s">
        <v>32</v>
      </c>
      <c r="G114" s="13"/>
      <c r="H114" s="18">
        <v>72</v>
      </c>
      <c r="I114" s="18">
        <v>80</v>
      </c>
      <c r="J114" s="18">
        <v>100</v>
      </c>
      <c r="K114" s="18">
        <v>60</v>
      </c>
      <c r="L114" s="18">
        <v>90</v>
      </c>
      <c r="M114" s="18">
        <v>88</v>
      </c>
      <c r="N114" s="18">
        <v>69</v>
      </c>
      <c r="O114" s="18" t="s">
        <v>820</v>
      </c>
      <c r="P114" s="13" t="s">
        <v>97</v>
      </c>
      <c r="Q114" t="str">
        <f>IFERROR(VLOOKUP(P114,MoveData[],3,FALSE),"")</f>
        <v>Fighting</v>
      </c>
      <c r="R114" t="str">
        <f>IFERROR(VLOOKUP(P114,MoveData[],4,FALSE),"")</f>
        <v>Physical</v>
      </c>
      <c r="S114" s="14">
        <v>30</v>
      </c>
      <c r="T114" s="15">
        <v>100</v>
      </c>
      <c r="U114" s="13" t="s">
        <v>237</v>
      </c>
      <c r="V114" t="str">
        <f>IFERROR(VLOOKUP(U114,MoveData[],3,FALSE),"")</f>
        <v>Normal</v>
      </c>
      <c r="W114" t="str">
        <f>IFERROR(VLOOKUP(U114,MoveData[],4,FALSE),"")</f>
        <v>Physical</v>
      </c>
      <c r="X114" s="14">
        <v>120</v>
      </c>
      <c r="Y114" s="15">
        <v>100</v>
      </c>
      <c r="Z114" s="13" t="s">
        <v>341</v>
      </c>
      <c r="AA114" t="str">
        <f>IFERROR(VLOOKUP(Z114,MoveData[],3,FALSE),"")</f>
        <v>Normal</v>
      </c>
      <c r="AB114" t="str">
        <f>IFERROR(VLOOKUP(Z114,MoveData[],4,FALSE),"")</f>
        <v>Physical</v>
      </c>
      <c r="AC114" s="14">
        <v>70</v>
      </c>
      <c r="AD114" s="15">
        <v>100</v>
      </c>
      <c r="AE114" s="13" t="s">
        <v>718</v>
      </c>
      <c r="AF114" t="str">
        <f>IFERROR(VLOOKUP(AE114,MoveData[],3,FALSE),"")</f>
        <v>Grass</v>
      </c>
      <c r="AG114" t="str">
        <f>IFERROR(VLOOKUP(AE114,MoveData[],4,FALSE),"")</f>
        <v>Status</v>
      </c>
      <c r="AH114" s="14">
        <v>0</v>
      </c>
      <c r="AI114" s="15">
        <v>100</v>
      </c>
      <c r="AJ114" s="13" t="s">
        <v>841</v>
      </c>
      <c r="AK114" s="13" t="s">
        <v>837</v>
      </c>
    </row>
    <row r="115" spans="1:37">
      <c r="A115" s="13" t="s">
        <v>670</v>
      </c>
      <c r="B115" s="13" t="s">
        <v>1055</v>
      </c>
      <c r="C115" s="13">
        <v>10</v>
      </c>
      <c r="D115" s="13">
        <v>2</v>
      </c>
      <c r="E115" s="13" t="s">
        <v>693</v>
      </c>
      <c r="F115" s="13" t="s">
        <v>32</v>
      </c>
      <c r="G115" s="13"/>
      <c r="H115" s="18">
        <v>160</v>
      </c>
      <c r="I115" s="18">
        <v>110</v>
      </c>
      <c r="J115" s="18">
        <v>65</v>
      </c>
      <c r="K115" s="18">
        <v>65</v>
      </c>
      <c r="L115" s="18">
        <v>110</v>
      </c>
      <c r="M115" s="18">
        <v>30</v>
      </c>
      <c r="N115" s="18">
        <v>68</v>
      </c>
      <c r="O115" s="18" t="s">
        <v>820</v>
      </c>
      <c r="P115" s="13" t="s">
        <v>338</v>
      </c>
      <c r="Q115" t="str">
        <f>IFERROR(VLOOKUP(P115,MoveData[],3,FALSE),"")</f>
        <v>Fighting</v>
      </c>
      <c r="R115" t="str">
        <f>IFERROR(VLOOKUP(P115,MoveData[],4,FALSE),"")</f>
        <v>Physical</v>
      </c>
      <c r="S115" s="14">
        <v>100</v>
      </c>
      <c r="T115" s="15">
        <v>90</v>
      </c>
      <c r="U115" s="13" t="s">
        <v>259</v>
      </c>
      <c r="V115" t="str">
        <f>IFERROR(VLOOKUP(U115,MoveData[],3,FALSE),"")</f>
        <v>Ground</v>
      </c>
      <c r="W115" t="str">
        <f>IFERROR(VLOOKUP(U115,MoveData[],4,FALSE),"")</f>
        <v>Physical</v>
      </c>
      <c r="X115" s="14">
        <v>100</v>
      </c>
      <c r="Y115" s="15">
        <v>100</v>
      </c>
      <c r="Z115" s="13" t="s">
        <v>346</v>
      </c>
      <c r="AA115" t="str">
        <f>IFERROR(VLOOKUP(Z115,MoveData[],3,FALSE),"")</f>
        <v>Steel</v>
      </c>
      <c r="AB115" t="str">
        <f>IFERROR(VLOOKUP(Z115,MoveData[],4,FALSE),"")</f>
        <v>Physical</v>
      </c>
      <c r="AC115" s="14">
        <v>0</v>
      </c>
      <c r="AD115" s="15">
        <v>100</v>
      </c>
      <c r="AE115" s="13" t="s">
        <v>37</v>
      </c>
      <c r="AF115" t="str">
        <f>IFERROR(VLOOKUP(AE115,MoveData[],3,FALSE),"")</f>
        <v>Dark</v>
      </c>
      <c r="AG115" t="str">
        <f>IFERROR(VLOOKUP(AE115,MoveData[],4,FALSE),"")</f>
        <v>Physical</v>
      </c>
      <c r="AH115" s="14">
        <v>80</v>
      </c>
      <c r="AI115" s="15">
        <v>100</v>
      </c>
      <c r="AJ115" s="13" t="s">
        <v>889</v>
      </c>
      <c r="AK115" s="13" t="s">
        <v>837</v>
      </c>
    </row>
    <row r="116" spans="1:37">
      <c r="A116" s="13" t="s">
        <v>670</v>
      </c>
      <c r="B116" s="13" t="s">
        <v>1055</v>
      </c>
      <c r="C116" s="13">
        <v>10</v>
      </c>
      <c r="D116" s="13">
        <v>3</v>
      </c>
      <c r="E116" s="13" t="s">
        <v>701</v>
      </c>
      <c r="F116" s="13" t="s">
        <v>41</v>
      </c>
      <c r="G116" s="13"/>
      <c r="H116" s="18">
        <v>48</v>
      </c>
      <c r="I116" s="18">
        <v>101</v>
      </c>
      <c r="J116" s="18">
        <v>95</v>
      </c>
      <c r="K116" s="18">
        <v>91</v>
      </c>
      <c r="L116" s="18">
        <v>85</v>
      </c>
      <c r="M116" s="18">
        <v>15</v>
      </c>
      <c r="N116" s="18">
        <v>68</v>
      </c>
      <c r="O116" s="18" t="s">
        <v>820</v>
      </c>
      <c r="P116" s="13" t="s">
        <v>655</v>
      </c>
      <c r="Q116" t="str">
        <f>IFERROR(VLOOKUP(P116,MoveData[],3,FALSE),"")</f>
        <v>Electric</v>
      </c>
      <c r="R116" t="str">
        <f>IFERROR(VLOOKUP(P116,MoveData[],4,FALSE),"")</f>
        <v>Physical</v>
      </c>
      <c r="S116" s="14">
        <v>80</v>
      </c>
      <c r="T116" s="15">
        <v>100</v>
      </c>
      <c r="U116" s="13" t="s">
        <v>467</v>
      </c>
      <c r="V116" t="str">
        <f>IFERROR(VLOOKUP(U116,MoveData[],3,FALSE),"")</f>
        <v>Poison</v>
      </c>
      <c r="W116" t="str">
        <f>IFERROR(VLOOKUP(U116,MoveData[],4,FALSE),"")</f>
        <v>Physical</v>
      </c>
      <c r="X116" s="14">
        <v>80</v>
      </c>
      <c r="Y116" s="15">
        <v>100</v>
      </c>
      <c r="Z116" s="13" t="s">
        <v>102</v>
      </c>
      <c r="AA116" t="str">
        <f>IFERROR(VLOOKUP(Z116,MoveData[],3,FALSE),"")</f>
        <v>Water</v>
      </c>
      <c r="AB116" t="str">
        <f>IFERROR(VLOOKUP(Z116,MoveData[],4,FALSE),"")</f>
        <v>Physical</v>
      </c>
      <c r="AC116" s="14">
        <v>85</v>
      </c>
      <c r="AD116" s="15">
        <v>100</v>
      </c>
      <c r="AE116" s="13" t="s">
        <v>722</v>
      </c>
      <c r="AF116" t="str">
        <f>IFERROR(VLOOKUP(AE116,MoveData[],3,FALSE),"")</f>
        <v>Normal</v>
      </c>
      <c r="AG116" t="str">
        <f>IFERROR(VLOOKUP(AE116,MoveData[],4,FALSE),"")</f>
        <v>Status</v>
      </c>
      <c r="AH116" s="14">
        <v>0</v>
      </c>
      <c r="AI116" s="15">
        <v>100</v>
      </c>
      <c r="AJ116" s="13" t="s">
        <v>888</v>
      </c>
      <c r="AK116" s="13" t="s">
        <v>837</v>
      </c>
    </row>
    <row r="117" spans="1:37">
      <c r="A117" s="13" t="s">
        <v>670</v>
      </c>
      <c r="B117" s="13" t="s">
        <v>1055</v>
      </c>
      <c r="C117" s="13">
        <v>10</v>
      </c>
      <c r="D117" s="13">
        <v>4</v>
      </c>
      <c r="E117" s="13" t="s">
        <v>699</v>
      </c>
      <c r="F117" s="13" t="s">
        <v>35</v>
      </c>
      <c r="G117" s="13" t="s">
        <v>24</v>
      </c>
      <c r="H117" s="18">
        <v>98</v>
      </c>
      <c r="I117" s="18">
        <v>87</v>
      </c>
      <c r="J117" s="18">
        <v>105</v>
      </c>
      <c r="K117" s="18">
        <v>53</v>
      </c>
      <c r="L117" s="18">
        <v>85</v>
      </c>
      <c r="M117" s="18">
        <v>67</v>
      </c>
      <c r="N117" s="18">
        <v>69</v>
      </c>
      <c r="O117" s="18" t="s">
        <v>820</v>
      </c>
      <c r="P117" s="13" t="s">
        <v>582</v>
      </c>
      <c r="Q117" t="str">
        <f>IFERROR(VLOOKUP(P117,MoveData[],3,FALSE),"")</f>
        <v>Steel</v>
      </c>
      <c r="R117" t="str">
        <f>IFERROR(VLOOKUP(P117,MoveData[],4,FALSE),"")</f>
        <v>Physical</v>
      </c>
      <c r="S117" s="14">
        <v>70</v>
      </c>
      <c r="T117" s="15">
        <v>90</v>
      </c>
      <c r="U117" s="13" t="s">
        <v>252</v>
      </c>
      <c r="V117" t="str">
        <f>IFERROR(VLOOKUP(U117,MoveData[],3,FALSE),"")</f>
        <v>Flying</v>
      </c>
      <c r="W117" t="str">
        <f>IFERROR(VLOOKUP(U117,MoveData[],4,FALSE),"")</f>
        <v>Physical</v>
      </c>
      <c r="X117" s="14">
        <v>80</v>
      </c>
      <c r="Y117" s="15">
        <v>100</v>
      </c>
      <c r="Z117" s="13" t="s">
        <v>719</v>
      </c>
      <c r="AA117" t="str">
        <f>IFERROR(VLOOKUP(Z117,MoveData[],3,FALSE),"")</f>
        <v>Normal</v>
      </c>
      <c r="AB117" t="str">
        <f>IFERROR(VLOOKUP(Z117,MoveData[],4,FALSE),"")</f>
        <v>Status</v>
      </c>
      <c r="AC117" s="14">
        <v>0</v>
      </c>
      <c r="AD117" s="15">
        <v>85</v>
      </c>
      <c r="AE117" s="13" t="s">
        <v>723</v>
      </c>
      <c r="AF117" t="str">
        <f>IFERROR(VLOOKUP(AE117,MoveData[],3,FALSE),"")</f>
        <v>Psychic</v>
      </c>
      <c r="AG117" t="str">
        <f>IFERROR(VLOOKUP(AE117,MoveData[],4,FALSE),"")</f>
        <v>Status</v>
      </c>
      <c r="AH117" s="14">
        <v>0</v>
      </c>
      <c r="AI117" s="15">
        <v>100</v>
      </c>
      <c r="AJ117" s="13" t="s">
        <v>887</v>
      </c>
      <c r="AK117" s="13" t="s">
        <v>837</v>
      </c>
    </row>
    <row r="118" spans="1:37">
      <c r="A118" s="13" t="s">
        <v>670</v>
      </c>
      <c r="B118" s="13" t="s">
        <v>1055</v>
      </c>
      <c r="C118" s="13">
        <v>10</v>
      </c>
      <c r="D118" s="13">
        <v>5</v>
      </c>
      <c r="E118" s="13" t="s">
        <v>696</v>
      </c>
      <c r="F118" s="13" t="s">
        <v>43</v>
      </c>
      <c r="G118" s="13"/>
      <c r="H118" s="18">
        <v>100</v>
      </c>
      <c r="I118" s="18">
        <v>125</v>
      </c>
      <c r="J118" s="18">
        <v>90</v>
      </c>
      <c r="K118" s="18">
        <v>60</v>
      </c>
      <c r="L118" s="18">
        <v>70</v>
      </c>
      <c r="M118" s="18">
        <v>85</v>
      </c>
      <c r="N118" s="18">
        <v>70</v>
      </c>
      <c r="O118" s="18" t="s">
        <v>820</v>
      </c>
      <c r="P118" s="13" t="s">
        <v>253</v>
      </c>
      <c r="Q118" t="str">
        <f>IFERROR(VLOOKUP(P118,MoveData[],3,FALSE),"")</f>
        <v>Grass</v>
      </c>
      <c r="R118" t="str">
        <f>IFERROR(VLOOKUP(P118,MoveData[],4,FALSE),"")</f>
        <v>Physical</v>
      </c>
      <c r="S118" s="14">
        <v>80</v>
      </c>
      <c r="T118" s="15">
        <v>100</v>
      </c>
      <c r="U118" s="13" t="s">
        <v>381</v>
      </c>
      <c r="V118" t="str">
        <f>IFERROR(VLOOKUP(U118,MoveData[],3,FALSE),"")</f>
        <v>Dark</v>
      </c>
      <c r="W118" t="str">
        <f>IFERROR(VLOOKUP(U118,MoveData[],4,FALSE),"")</f>
        <v>Physical</v>
      </c>
      <c r="X118" s="14">
        <v>65</v>
      </c>
      <c r="Y118" s="15">
        <v>100</v>
      </c>
      <c r="Z118" s="13" t="s">
        <v>551</v>
      </c>
      <c r="AA118" t="str">
        <f>IFERROR(VLOOKUP(Z118,MoveData[],3,FALSE),"")</f>
        <v>Normal</v>
      </c>
      <c r="AB118" t="str">
        <f>IFERROR(VLOOKUP(Z118,MoveData[],4,FALSE),"")</f>
        <v>Physical</v>
      </c>
      <c r="AC118" s="14">
        <v>80</v>
      </c>
      <c r="AD118" s="15">
        <v>75</v>
      </c>
      <c r="AE118" s="13" t="s">
        <v>349</v>
      </c>
      <c r="AF118" t="str">
        <f>IFERROR(VLOOKUP(AE118,MoveData[],3,FALSE),"")</f>
        <v>Ground</v>
      </c>
      <c r="AG118" t="str">
        <f>IFERROR(VLOOKUP(AE118,MoveData[],4,FALSE),"")</f>
        <v>Physical</v>
      </c>
      <c r="AH118" s="14">
        <v>95</v>
      </c>
      <c r="AI118" s="15">
        <v>95</v>
      </c>
      <c r="AJ118" s="13" t="s">
        <v>842</v>
      </c>
      <c r="AK118" s="13" t="s">
        <v>843</v>
      </c>
    </row>
    <row r="119" spans="1:37">
      <c r="A119" s="13" t="s">
        <v>670</v>
      </c>
      <c r="B119" s="13" t="s">
        <v>1055</v>
      </c>
      <c r="C119" s="13">
        <v>10</v>
      </c>
      <c r="D119" s="13">
        <v>6</v>
      </c>
      <c r="E119" s="13" t="s">
        <v>724</v>
      </c>
      <c r="F119" s="13" t="s">
        <v>20</v>
      </c>
      <c r="G119" s="13" t="s">
        <v>24</v>
      </c>
      <c r="H119" s="18">
        <v>92</v>
      </c>
      <c r="I119" s="18">
        <v>130</v>
      </c>
      <c r="J119" s="18">
        <v>115</v>
      </c>
      <c r="K119" s="18">
        <v>80</v>
      </c>
      <c r="L119" s="18">
        <v>115</v>
      </c>
      <c r="M119" s="18">
        <v>138</v>
      </c>
      <c r="N119" s="18">
        <v>70</v>
      </c>
      <c r="O119" s="18" t="s">
        <v>820</v>
      </c>
      <c r="P119" s="13" t="s">
        <v>37</v>
      </c>
      <c r="Q119" t="str">
        <f>IFERROR(VLOOKUP(P119,MoveData[],3,FALSE),"")</f>
        <v>Dark</v>
      </c>
      <c r="R119" t="str">
        <f>IFERROR(VLOOKUP(P119,MoveData[],4,FALSE),"")</f>
        <v>Physical</v>
      </c>
      <c r="S119" s="14">
        <v>80</v>
      </c>
      <c r="T119" s="15">
        <v>100</v>
      </c>
      <c r="U119" s="13" t="s">
        <v>163</v>
      </c>
      <c r="V119" t="str">
        <f>IFERROR(VLOOKUP(U119,MoveData[],3,FALSE),"")</f>
        <v>Steel</v>
      </c>
      <c r="W119" t="str">
        <f>IFERROR(VLOOKUP(U119,MoveData[],4,FALSE),"")</f>
        <v>Physical</v>
      </c>
      <c r="X119" s="14">
        <v>100</v>
      </c>
      <c r="Y119" s="15">
        <v>100</v>
      </c>
      <c r="Z119" s="13" t="s">
        <v>482</v>
      </c>
      <c r="AA119" t="str">
        <f>IFERROR(VLOOKUP(Z119,MoveData[],3,FALSE),"")</f>
        <v>Psychic</v>
      </c>
      <c r="AB119" t="str">
        <f>IFERROR(VLOOKUP(Z119,MoveData[],4,FALSE),"")</f>
        <v>Physical</v>
      </c>
      <c r="AC119" s="14">
        <v>85</v>
      </c>
      <c r="AD119" s="15">
        <v>100</v>
      </c>
      <c r="AE119" s="13" t="s">
        <v>464</v>
      </c>
      <c r="AF119" t="str">
        <f>IFERROR(VLOOKUP(AE119,MoveData[],3,FALSE),"")</f>
        <v>Fairy</v>
      </c>
      <c r="AG119" t="str">
        <f>IFERROR(VLOOKUP(AE119,MoveData[],4,FALSE),"")</f>
        <v>Physical</v>
      </c>
      <c r="AH119" s="14">
        <v>90</v>
      </c>
      <c r="AI119" s="15">
        <v>90</v>
      </c>
      <c r="AJ119" s="13" t="s">
        <v>892</v>
      </c>
      <c r="AK119" s="13" t="s">
        <v>839</v>
      </c>
    </row>
    <row r="120" spans="1:37">
      <c r="A120" s="13" t="s">
        <v>978</v>
      </c>
      <c r="B120" s="13" t="s">
        <v>721</v>
      </c>
      <c r="C120" s="13">
        <v>1</v>
      </c>
      <c r="D120" s="13">
        <v>1</v>
      </c>
      <c r="E120" s="13" t="s">
        <v>708</v>
      </c>
      <c r="F120" s="13" t="s">
        <v>20</v>
      </c>
      <c r="G120" s="13"/>
      <c r="H120" s="13">
        <v>62</v>
      </c>
      <c r="I120" s="13">
        <v>135</v>
      </c>
      <c r="J120" s="13">
        <v>95</v>
      </c>
      <c r="K120" s="13">
        <v>68</v>
      </c>
      <c r="L120" s="13">
        <v>82</v>
      </c>
      <c r="M120" s="13">
        <v>65</v>
      </c>
      <c r="N120" s="18">
        <v>60</v>
      </c>
      <c r="O120" s="18" t="s">
        <v>820</v>
      </c>
      <c r="P120" s="13" t="s">
        <v>386</v>
      </c>
      <c r="Q120" t="str">
        <f>IFERROR(VLOOKUP(P120,MoveData[],3,FALSE),"")</f>
        <v>Grass</v>
      </c>
      <c r="R120" t="str">
        <f>IFERROR(VLOOKUP(P120,MoveData[],4,FALSE),"")</f>
        <v>Physical</v>
      </c>
      <c r="S120" s="14">
        <v>90</v>
      </c>
      <c r="T120" s="15">
        <v>100</v>
      </c>
      <c r="U120" s="13" t="s">
        <v>551</v>
      </c>
      <c r="V120" t="str">
        <f>IFERROR(VLOOKUP(U120,MoveData[],3,FALSE),"")</f>
        <v>Normal</v>
      </c>
      <c r="W120" t="str">
        <f>IFERROR(VLOOKUP(U120,MoveData[],4,FALSE),"")</f>
        <v>Physical</v>
      </c>
      <c r="X120" s="14">
        <v>80</v>
      </c>
      <c r="Y120" s="15">
        <v>75</v>
      </c>
      <c r="Z120" s="13" t="s">
        <v>422</v>
      </c>
      <c r="AA120" t="str">
        <f>IFERROR(VLOOKUP(Z120,MoveData[],3,FALSE),"")</f>
        <v>Fighting</v>
      </c>
      <c r="AB120" t="str">
        <f>IFERROR(VLOOKUP(Z120,MoveData[],4,FALSE),"")</f>
        <v>Physical</v>
      </c>
      <c r="AC120" s="14">
        <v>150</v>
      </c>
      <c r="AD120" s="15">
        <v>100</v>
      </c>
      <c r="AE120" s="13" t="s">
        <v>26</v>
      </c>
      <c r="AF120" t="str">
        <f>IFERROR(VLOOKUP(AE120,MoveData[],3,FALSE),"")</f>
        <v>Normal</v>
      </c>
      <c r="AG120" t="str">
        <f>IFERROR(VLOOKUP(AE120,MoveData[],4,FALSE),"")</f>
        <v>Status</v>
      </c>
      <c r="AH120" s="14">
        <v>0</v>
      </c>
      <c r="AI120" s="15">
        <v>100</v>
      </c>
      <c r="AJ120" s="13" t="s">
        <v>965</v>
      </c>
      <c r="AK120" s="13" t="s">
        <v>837</v>
      </c>
    </row>
    <row r="121" spans="1:37">
      <c r="A121" s="13" t="s">
        <v>978</v>
      </c>
      <c r="B121" s="13" t="s">
        <v>721</v>
      </c>
      <c r="C121" s="13">
        <v>1</v>
      </c>
      <c r="D121" s="13">
        <v>4</v>
      </c>
      <c r="E121" s="13" t="s">
        <v>100</v>
      </c>
      <c r="F121" s="13" t="s">
        <v>21</v>
      </c>
      <c r="G121" s="13" t="s">
        <v>34</v>
      </c>
      <c r="H121" s="13">
        <v>75</v>
      </c>
      <c r="I121" s="13">
        <v>125</v>
      </c>
      <c r="J121" s="13">
        <v>140</v>
      </c>
      <c r="K121" s="13">
        <v>60</v>
      </c>
      <c r="L121" s="13">
        <v>90</v>
      </c>
      <c r="M121" s="13">
        <v>40</v>
      </c>
      <c r="N121" s="18">
        <v>60</v>
      </c>
      <c r="O121" s="18" t="s">
        <v>820</v>
      </c>
      <c r="P121" s="13" t="s">
        <v>101</v>
      </c>
      <c r="Q121" t="str">
        <f>IFERROR(VLOOKUP(P121,MoveData[],3,FALSE),"")</f>
        <v>Bug</v>
      </c>
      <c r="R121" t="str">
        <f>IFERROR(VLOOKUP(P121,MoveData[],4,FALSE),"")</f>
        <v>Physical</v>
      </c>
      <c r="S121" s="14">
        <v>90</v>
      </c>
      <c r="T121" s="15">
        <v>100</v>
      </c>
      <c r="U121" s="13" t="s">
        <v>652</v>
      </c>
      <c r="V121" t="str">
        <f>IFERROR(VLOOKUP(U121,MoveData[],3,FALSE),"")</f>
        <v>Bug</v>
      </c>
      <c r="W121" t="str">
        <f>IFERROR(VLOOKUP(U121,MoveData[],4,FALSE),"")</f>
        <v>Physical</v>
      </c>
      <c r="X121" s="14">
        <v>80</v>
      </c>
      <c r="Y121" s="15">
        <v>100</v>
      </c>
      <c r="Z121" s="13" t="s">
        <v>102</v>
      </c>
      <c r="AA121" t="str">
        <f>IFERROR(VLOOKUP(Z121,MoveData[],3,FALSE),"")</f>
        <v>Water</v>
      </c>
      <c r="AB121" t="str">
        <f>IFERROR(VLOOKUP(Z121,MoveData[],4,FALSE),"")</f>
        <v>Physical</v>
      </c>
      <c r="AC121" s="14">
        <v>85</v>
      </c>
      <c r="AD121" s="15">
        <v>100</v>
      </c>
      <c r="AE121" s="13" t="s">
        <v>595</v>
      </c>
      <c r="AF121" t="str">
        <f>IFERROR(VLOOKUP(AE121,MoveData[],3,FALSE),"")</f>
        <v>Dark</v>
      </c>
      <c r="AG121" t="str">
        <f>IFERROR(VLOOKUP(AE121,MoveData[],4,FALSE),"")</f>
        <v>Physical</v>
      </c>
      <c r="AH121" s="14">
        <v>70</v>
      </c>
      <c r="AI121" s="15">
        <v>100</v>
      </c>
      <c r="AJ121" s="13" t="s">
        <v>879</v>
      </c>
      <c r="AK121" s="13" t="s">
        <v>839</v>
      </c>
    </row>
    <row r="122" spans="1:37">
      <c r="A122" s="13" t="s">
        <v>978</v>
      </c>
      <c r="B122" s="13" t="s">
        <v>721</v>
      </c>
      <c r="C122" s="13">
        <v>1</v>
      </c>
      <c r="D122" s="13">
        <v>3</v>
      </c>
      <c r="E122" s="13" t="s">
        <v>966</v>
      </c>
      <c r="F122" s="13" t="s">
        <v>24</v>
      </c>
      <c r="G122" s="13" t="s">
        <v>46</v>
      </c>
      <c r="H122" s="13">
        <v>59</v>
      </c>
      <c r="I122" s="13">
        <v>110</v>
      </c>
      <c r="J122" s="13">
        <v>150</v>
      </c>
      <c r="K122" s="13">
        <v>45</v>
      </c>
      <c r="L122" s="13">
        <v>49</v>
      </c>
      <c r="M122" s="13">
        <v>35</v>
      </c>
      <c r="N122" s="18">
        <v>60</v>
      </c>
      <c r="O122" s="18" t="s">
        <v>820</v>
      </c>
      <c r="P122" s="13" t="s">
        <v>517</v>
      </c>
      <c r="Q122" t="str">
        <f>IFERROR(VLOOKUP(P122,MoveData[],3,FALSE),"")</f>
        <v>Fighting</v>
      </c>
      <c r="R122" t="str">
        <f>IFERROR(VLOOKUP(P122,MoveData[],4,FALSE),"")</f>
        <v>Physical</v>
      </c>
      <c r="S122" s="14">
        <v>90</v>
      </c>
      <c r="T122" s="15">
        <v>100</v>
      </c>
      <c r="U122" s="13" t="s">
        <v>444</v>
      </c>
      <c r="V122" t="str">
        <f>IFERROR(VLOOKUP(U122,MoveData[],3,FALSE),"")</f>
        <v>Dark</v>
      </c>
      <c r="W122" t="str">
        <f>IFERROR(VLOOKUP(U122,MoveData[],4,FALSE),"")</f>
        <v>Physical</v>
      </c>
      <c r="X122" s="14">
        <v>70</v>
      </c>
      <c r="Y122" s="15">
        <v>100</v>
      </c>
      <c r="Z122" s="13" t="s">
        <v>375</v>
      </c>
      <c r="AA122" t="str">
        <f>IFERROR(VLOOKUP(Z122,MoveData[],3,FALSE),"")</f>
        <v>Steel</v>
      </c>
      <c r="AB122" t="str">
        <f>IFERROR(VLOOKUP(Z122,MoveData[],4,FALSE),"")</f>
        <v>Physical</v>
      </c>
      <c r="AC122" s="14">
        <v>80</v>
      </c>
      <c r="AD122" s="15">
        <v>100</v>
      </c>
      <c r="AE122" s="13" t="s">
        <v>26</v>
      </c>
      <c r="AF122" t="str">
        <f>IFERROR(VLOOKUP(AE122,MoveData[],3,FALSE),"")</f>
        <v>Normal</v>
      </c>
      <c r="AG122" t="str">
        <f>IFERROR(VLOOKUP(AE122,MoveData[],4,FALSE),"")</f>
        <v>Status</v>
      </c>
      <c r="AH122" s="14">
        <v>0</v>
      </c>
      <c r="AI122" s="15">
        <v>100</v>
      </c>
      <c r="AJ122" s="13" t="s">
        <v>967</v>
      </c>
      <c r="AK122" s="13" t="s">
        <v>837</v>
      </c>
    </row>
    <row r="123" spans="1:37">
      <c r="A123" s="13" t="s">
        <v>978</v>
      </c>
      <c r="B123" s="13" t="s">
        <v>721</v>
      </c>
      <c r="C123" s="13">
        <v>1</v>
      </c>
      <c r="D123" s="13">
        <v>2</v>
      </c>
      <c r="E123" s="13" t="s">
        <v>968</v>
      </c>
      <c r="F123" s="13" t="s">
        <v>38</v>
      </c>
      <c r="G123" s="13" t="s">
        <v>24</v>
      </c>
      <c r="H123" s="13">
        <v>65</v>
      </c>
      <c r="I123" s="13">
        <v>125</v>
      </c>
      <c r="J123" s="13">
        <v>100</v>
      </c>
      <c r="K123" s="13">
        <v>60</v>
      </c>
      <c r="L123" s="13">
        <v>70</v>
      </c>
      <c r="M123" s="13">
        <v>70</v>
      </c>
      <c r="N123" s="18">
        <v>60</v>
      </c>
      <c r="O123" s="18" t="s">
        <v>820</v>
      </c>
      <c r="P123" s="13" t="s">
        <v>375</v>
      </c>
      <c r="Q123" t="str">
        <f>IFERROR(VLOOKUP(P123,MoveData[],3,FALSE),"")</f>
        <v>Steel</v>
      </c>
      <c r="R123" t="str">
        <f>IFERROR(VLOOKUP(P123,MoveData[],4,FALSE),"")</f>
        <v>Physical</v>
      </c>
      <c r="S123" s="14">
        <v>80</v>
      </c>
      <c r="T123" s="15">
        <v>100</v>
      </c>
      <c r="U123" s="13" t="s">
        <v>444</v>
      </c>
      <c r="V123" t="str">
        <f>IFERROR(VLOOKUP(U123,MoveData[],3,FALSE),"")</f>
        <v>Dark</v>
      </c>
      <c r="W123" t="str">
        <f>IFERROR(VLOOKUP(U123,MoveData[],4,FALSE),"")</f>
        <v>Physical</v>
      </c>
      <c r="X123" s="14">
        <v>70</v>
      </c>
      <c r="Y123" s="15">
        <v>100</v>
      </c>
      <c r="Z123" s="13" t="s">
        <v>587</v>
      </c>
      <c r="AA123" t="str">
        <f>IFERROR(VLOOKUP(Z123,MoveData[],3,FALSE),"")</f>
        <v>Rock</v>
      </c>
      <c r="AB123" t="str">
        <f>IFERROR(VLOOKUP(Z123,MoveData[],4,FALSE),"")</f>
        <v>Physical</v>
      </c>
      <c r="AC123" s="14">
        <v>100</v>
      </c>
      <c r="AD123" s="15">
        <v>80</v>
      </c>
      <c r="AE123" s="13" t="s">
        <v>26</v>
      </c>
      <c r="AF123" t="str">
        <f>IFERROR(VLOOKUP(AE123,MoveData[],3,FALSE),"")</f>
        <v>Normal</v>
      </c>
      <c r="AG123" t="str">
        <f>IFERROR(VLOOKUP(AE123,MoveData[],4,FALSE),"")</f>
        <v>Status</v>
      </c>
      <c r="AH123" s="14">
        <v>0</v>
      </c>
      <c r="AI123" s="15">
        <v>100</v>
      </c>
      <c r="AJ123" s="13" t="s">
        <v>969</v>
      </c>
      <c r="AK123" s="13" t="s">
        <v>837</v>
      </c>
    </row>
    <row r="124" spans="1:37">
      <c r="A124" s="13" t="s">
        <v>978</v>
      </c>
      <c r="B124" s="13" t="s">
        <v>970</v>
      </c>
      <c r="C124" s="13">
        <v>2</v>
      </c>
      <c r="D124" s="13">
        <v>1</v>
      </c>
      <c r="E124" s="13" t="s">
        <v>708</v>
      </c>
      <c r="F124" s="13" t="s">
        <v>20</v>
      </c>
      <c r="G124" s="13"/>
      <c r="H124" s="13">
        <v>62</v>
      </c>
      <c r="I124" s="13">
        <v>135</v>
      </c>
      <c r="J124" s="13">
        <v>95</v>
      </c>
      <c r="K124" s="13">
        <v>68</v>
      </c>
      <c r="L124" s="13">
        <v>82</v>
      </c>
      <c r="M124" s="13">
        <v>65</v>
      </c>
      <c r="N124" s="18">
        <v>64</v>
      </c>
      <c r="O124" s="18" t="s">
        <v>820</v>
      </c>
      <c r="P124" s="13" t="s">
        <v>386</v>
      </c>
      <c r="Q124" t="str">
        <f>IFERROR(VLOOKUP(P124,MoveData[],3,FALSE),"")</f>
        <v>Grass</v>
      </c>
      <c r="R124" t="str">
        <f>IFERROR(VLOOKUP(P124,MoveData[],4,FALSE),"")</f>
        <v>Physical</v>
      </c>
      <c r="S124" s="14">
        <v>90</v>
      </c>
      <c r="T124" s="15">
        <v>100</v>
      </c>
      <c r="U124" s="13" t="s">
        <v>551</v>
      </c>
      <c r="V124" t="str">
        <f>IFERROR(VLOOKUP(U124,MoveData[],3,FALSE),"")</f>
        <v>Normal</v>
      </c>
      <c r="W124" t="str">
        <f>IFERROR(VLOOKUP(U124,MoveData[],4,FALSE),"")</f>
        <v>Physical</v>
      </c>
      <c r="X124" s="14">
        <v>80</v>
      </c>
      <c r="Y124" s="15">
        <v>75</v>
      </c>
      <c r="Z124" s="13" t="s">
        <v>422</v>
      </c>
      <c r="AA124" t="str">
        <f>IFERROR(VLOOKUP(Z124,MoveData[],3,FALSE),"")</f>
        <v>Fighting</v>
      </c>
      <c r="AB124" t="str">
        <f>IFERROR(VLOOKUP(Z124,MoveData[],4,FALSE),"")</f>
        <v>Physical</v>
      </c>
      <c r="AC124" s="14">
        <v>150</v>
      </c>
      <c r="AD124" s="15">
        <v>100</v>
      </c>
      <c r="AE124" s="13" t="s">
        <v>26</v>
      </c>
      <c r="AF124" t="str">
        <f>IFERROR(VLOOKUP(AE124,MoveData[],3,FALSE),"")</f>
        <v>Normal</v>
      </c>
      <c r="AG124" t="str">
        <f>IFERROR(VLOOKUP(AE124,MoveData[],4,FALSE),"")</f>
        <v>Status</v>
      </c>
      <c r="AH124" s="14">
        <v>0</v>
      </c>
      <c r="AI124" s="15">
        <v>100</v>
      </c>
      <c r="AJ124" s="13" t="s">
        <v>965</v>
      </c>
      <c r="AK124" s="13" t="s">
        <v>837</v>
      </c>
    </row>
    <row r="125" spans="1:37">
      <c r="A125" s="13" t="s">
        <v>978</v>
      </c>
      <c r="B125" s="13" t="s">
        <v>970</v>
      </c>
      <c r="C125" s="13">
        <v>2</v>
      </c>
      <c r="D125" s="13">
        <v>4</v>
      </c>
      <c r="E125" s="13" t="s">
        <v>100</v>
      </c>
      <c r="F125" s="13" t="s">
        <v>21</v>
      </c>
      <c r="G125" s="13" t="s">
        <v>34</v>
      </c>
      <c r="H125" s="13">
        <v>75</v>
      </c>
      <c r="I125" s="13">
        <v>125</v>
      </c>
      <c r="J125" s="13">
        <v>140</v>
      </c>
      <c r="K125" s="13">
        <v>60</v>
      </c>
      <c r="L125" s="13">
        <v>90</v>
      </c>
      <c r="M125" s="13">
        <v>40</v>
      </c>
      <c r="N125" s="18">
        <v>64</v>
      </c>
      <c r="O125" s="18" t="s">
        <v>820</v>
      </c>
      <c r="P125" s="13" t="s">
        <v>101</v>
      </c>
      <c r="Q125" t="str">
        <f>IFERROR(VLOOKUP(P125,MoveData[],3,FALSE),"")</f>
        <v>Bug</v>
      </c>
      <c r="R125" t="str">
        <f>IFERROR(VLOOKUP(P125,MoveData[],4,FALSE),"")</f>
        <v>Physical</v>
      </c>
      <c r="S125" s="14">
        <v>90</v>
      </c>
      <c r="T125" s="15">
        <v>100</v>
      </c>
      <c r="U125" s="13" t="s">
        <v>652</v>
      </c>
      <c r="V125" t="str">
        <f>IFERROR(VLOOKUP(U125,MoveData[],3,FALSE),"")</f>
        <v>Bug</v>
      </c>
      <c r="W125" t="str">
        <f>IFERROR(VLOOKUP(U125,MoveData[],4,FALSE),"")</f>
        <v>Physical</v>
      </c>
      <c r="X125" s="14">
        <v>80</v>
      </c>
      <c r="Y125" s="15">
        <v>100</v>
      </c>
      <c r="Z125" s="13" t="s">
        <v>102</v>
      </c>
      <c r="AA125" t="str">
        <f>IFERROR(VLOOKUP(Z125,MoveData[],3,FALSE),"")</f>
        <v>Water</v>
      </c>
      <c r="AB125" t="str">
        <f>IFERROR(VLOOKUP(Z125,MoveData[],4,FALSE),"")</f>
        <v>Physical</v>
      </c>
      <c r="AC125" s="14">
        <v>85</v>
      </c>
      <c r="AD125" s="15">
        <v>100</v>
      </c>
      <c r="AE125" s="13" t="s">
        <v>595</v>
      </c>
      <c r="AF125" t="str">
        <f>IFERROR(VLOOKUP(AE125,MoveData[],3,FALSE),"")</f>
        <v>Dark</v>
      </c>
      <c r="AG125" t="str">
        <f>IFERROR(VLOOKUP(AE125,MoveData[],4,FALSE),"")</f>
        <v>Physical</v>
      </c>
      <c r="AH125" s="14">
        <v>70</v>
      </c>
      <c r="AI125" s="15">
        <v>100</v>
      </c>
      <c r="AJ125" s="13" t="s">
        <v>879</v>
      </c>
      <c r="AK125" s="13" t="s">
        <v>839</v>
      </c>
    </row>
    <row r="126" spans="1:37">
      <c r="A126" s="13" t="s">
        <v>978</v>
      </c>
      <c r="B126" s="13" t="s">
        <v>970</v>
      </c>
      <c r="C126" s="13">
        <v>2</v>
      </c>
      <c r="D126" s="13">
        <v>3</v>
      </c>
      <c r="E126" s="13" t="s">
        <v>966</v>
      </c>
      <c r="F126" s="13" t="s">
        <v>24</v>
      </c>
      <c r="G126" s="13" t="s">
        <v>46</v>
      </c>
      <c r="H126" s="13">
        <v>59</v>
      </c>
      <c r="I126" s="13">
        <v>110</v>
      </c>
      <c r="J126" s="13">
        <v>150</v>
      </c>
      <c r="K126" s="13">
        <v>45</v>
      </c>
      <c r="L126" s="13">
        <v>49</v>
      </c>
      <c r="M126" s="13">
        <v>35</v>
      </c>
      <c r="N126" s="18">
        <v>64</v>
      </c>
      <c r="O126" s="18" t="s">
        <v>820</v>
      </c>
      <c r="P126" s="13" t="s">
        <v>517</v>
      </c>
      <c r="Q126" t="str">
        <f>IFERROR(VLOOKUP(P126,MoveData[],3,FALSE),"")</f>
        <v>Fighting</v>
      </c>
      <c r="R126" t="str">
        <f>IFERROR(VLOOKUP(P126,MoveData[],4,FALSE),"")</f>
        <v>Physical</v>
      </c>
      <c r="S126" s="14">
        <v>90</v>
      </c>
      <c r="T126" s="15">
        <v>100</v>
      </c>
      <c r="U126" s="13" t="s">
        <v>444</v>
      </c>
      <c r="V126" t="str">
        <f>IFERROR(VLOOKUP(U126,MoveData[],3,FALSE),"")</f>
        <v>Dark</v>
      </c>
      <c r="W126" t="str">
        <f>IFERROR(VLOOKUP(U126,MoveData[],4,FALSE),"")</f>
        <v>Physical</v>
      </c>
      <c r="X126" s="14">
        <v>70</v>
      </c>
      <c r="Y126" s="15">
        <v>100</v>
      </c>
      <c r="Z126" s="13" t="s">
        <v>375</v>
      </c>
      <c r="AA126" t="str">
        <f>IFERROR(VLOOKUP(Z126,MoveData[],3,FALSE),"")</f>
        <v>Steel</v>
      </c>
      <c r="AB126" t="str">
        <f>IFERROR(VLOOKUP(Z126,MoveData[],4,FALSE),"")</f>
        <v>Physical</v>
      </c>
      <c r="AC126" s="14">
        <v>80</v>
      </c>
      <c r="AD126" s="15">
        <v>100</v>
      </c>
      <c r="AE126" s="13" t="s">
        <v>26</v>
      </c>
      <c r="AF126" t="str">
        <f>IFERROR(VLOOKUP(AE126,MoveData[],3,FALSE),"")</f>
        <v>Normal</v>
      </c>
      <c r="AG126" t="str">
        <f>IFERROR(VLOOKUP(AE126,MoveData[],4,FALSE),"")</f>
        <v>Status</v>
      </c>
      <c r="AH126" s="14">
        <v>0</v>
      </c>
      <c r="AI126" s="15">
        <v>100</v>
      </c>
      <c r="AJ126" s="13" t="s">
        <v>967</v>
      </c>
      <c r="AK126" s="13" t="s">
        <v>837</v>
      </c>
    </row>
    <row r="127" spans="1:37">
      <c r="A127" s="13" t="s">
        <v>978</v>
      </c>
      <c r="B127" s="13" t="s">
        <v>970</v>
      </c>
      <c r="C127" s="13">
        <v>2</v>
      </c>
      <c r="D127" s="13">
        <v>2</v>
      </c>
      <c r="E127" s="13" t="s">
        <v>968</v>
      </c>
      <c r="F127" s="13" t="s">
        <v>38</v>
      </c>
      <c r="G127" s="13" t="s">
        <v>24</v>
      </c>
      <c r="H127" s="13">
        <v>65</v>
      </c>
      <c r="I127" s="13">
        <v>125</v>
      </c>
      <c r="J127" s="13">
        <v>100</v>
      </c>
      <c r="K127" s="13">
        <v>60</v>
      </c>
      <c r="L127" s="13">
        <v>70</v>
      </c>
      <c r="M127" s="13">
        <v>70</v>
      </c>
      <c r="N127" s="18">
        <v>64</v>
      </c>
      <c r="O127" s="18" t="s">
        <v>820</v>
      </c>
      <c r="P127" s="13" t="s">
        <v>375</v>
      </c>
      <c r="Q127" t="str">
        <f>IFERROR(VLOOKUP(P127,MoveData[],3,FALSE),"")</f>
        <v>Steel</v>
      </c>
      <c r="R127" t="str">
        <f>IFERROR(VLOOKUP(P127,MoveData[],4,FALSE),"")</f>
        <v>Physical</v>
      </c>
      <c r="S127" s="14">
        <v>80</v>
      </c>
      <c r="T127" s="15">
        <v>100</v>
      </c>
      <c r="U127" s="13" t="s">
        <v>444</v>
      </c>
      <c r="V127" t="str">
        <f>IFERROR(VLOOKUP(U127,MoveData[],3,FALSE),"")</f>
        <v>Dark</v>
      </c>
      <c r="W127" t="str">
        <f>IFERROR(VLOOKUP(U127,MoveData[],4,FALSE),"")</f>
        <v>Physical</v>
      </c>
      <c r="X127" s="14">
        <v>70</v>
      </c>
      <c r="Y127" s="15">
        <v>100</v>
      </c>
      <c r="Z127" s="13" t="s">
        <v>587</v>
      </c>
      <c r="AA127" t="str">
        <f>IFERROR(VLOOKUP(Z127,MoveData[],3,FALSE),"")</f>
        <v>Rock</v>
      </c>
      <c r="AB127" t="str">
        <f>IFERROR(VLOOKUP(Z127,MoveData[],4,FALSE),"")</f>
        <v>Physical</v>
      </c>
      <c r="AC127" s="14">
        <v>100</v>
      </c>
      <c r="AD127" s="15">
        <v>80</v>
      </c>
      <c r="AE127" s="13" t="s">
        <v>26</v>
      </c>
      <c r="AF127" t="str">
        <f>IFERROR(VLOOKUP(AE127,MoveData[],3,FALSE),"")</f>
        <v>Normal</v>
      </c>
      <c r="AG127" t="str">
        <f>IFERROR(VLOOKUP(AE127,MoveData[],4,FALSE),"")</f>
        <v>Status</v>
      </c>
      <c r="AH127" s="14">
        <v>0</v>
      </c>
      <c r="AI127" s="15">
        <v>100</v>
      </c>
      <c r="AJ127" s="13" t="s">
        <v>969</v>
      </c>
      <c r="AK127" s="13" t="s">
        <v>837</v>
      </c>
    </row>
    <row r="128" spans="1:37">
      <c r="A128" s="13" t="s">
        <v>981</v>
      </c>
      <c r="B128" s="13" t="s">
        <v>1</v>
      </c>
      <c r="C128" s="13">
        <v>1</v>
      </c>
      <c r="D128" s="13">
        <v>1</v>
      </c>
      <c r="E128" s="13" t="s">
        <v>982</v>
      </c>
      <c r="F128" s="13" t="s">
        <v>22</v>
      </c>
      <c r="G128" s="13"/>
      <c r="H128" s="13">
        <v>45</v>
      </c>
      <c r="I128" s="13">
        <v>30</v>
      </c>
      <c r="J128" s="13">
        <v>40</v>
      </c>
      <c r="K128" s="13">
        <v>105</v>
      </c>
      <c r="L128" s="13">
        <v>40</v>
      </c>
      <c r="M128" s="13">
        <v>20</v>
      </c>
      <c r="N128" s="18">
        <v>13</v>
      </c>
      <c r="O128" s="18" t="s">
        <v>820</v>
      </c>
      <c r="P128" s="13" t="s">
        <v>266</v>
      </c>
      <c r="Q128" t="str">
        <f>IFERROR(VLOOKUP(P128,MoveData[],3,FALSE),"")</f>
        <v>Normal</v>
      </c>
      <c r="R128" t="str">
        <f>IFERROR(VLOOKUP(P128,MoveData[],4,FALSE),"")</f>
        <v>Physical</v>
      </c>
      <c r="S128" s="14">
        <v>0</v>
      </c>
      <c r="T128" s="15">
        <v>100</v>
      </c>
      <c r="U128" s="13" t="s">
        <v>213</v>
      </c>
      <c r="V128" t="str">
        <f>IFERROR(VLOOKUP(U128,MoveData[],3,FALSE),"")</f>
        <v>Psychic</v>
      </c>
      <c r="W128" t="str">
        <f>IFERROR(VLOOKUP(U128,MoveData[],4,FALSE),"")</f>
        <v>Special</v>
      </c>
      <c r="X128" s="14">
        <v>50</v>
      </c>
      <c r="Y128" s="15">
        <v>100</v>
      </c>
      <c r="Z128" s="13"/>
      <c r="AA128" t="str">
        <f>IFERROR(VLOOKUP(Z128,MoveData[],3,FALSE),"")</f>
        <v/>
      </c>
      <c r="AB128" t="str">
        <f>IFERROR(VLOOKUP(Z128,MoveData[],4,FALSE),"")</f>
        <v/>
      </c>
      <c r="AC128" s="14">
        <v>0</v>
      </c>
      <c r="AD128" s="15">
        <v>100</v>
      </c>
      <c r="AE128" s="13"/>
      <c r="AF128" t="str">
        <f>IFERROR(VLOOKUP(AE128,MoveData[],3,FALSE),"")</f>
        <v/>
      </c>
      <c r="AG128" t="str">
        <f>IFERROR(VLOOKUP(AE128,MoveData[],4,FALSE),"")</f>
        <v/>
      </c>
      <c r="AH128" s="14">
        <v>0</v>
      </c>
      <c r="AI128" s="15">
        <v>100</v>
      </c>
      <c r="AJ128" s="13" t="s">
        <v>983</v>
      </c>
      <c r="AK128" s="13" t="s">
        <v>837</v>
      </c>
    </row>
    <row r="129" spans="1:37">
      <c r="A129" s="13" t="s">
        <v>981</v>
      </c>
      <c r="B129" s="13" t="s">
        <v>1</v>
      </c>
      <c r="C129" s="13">
        <v>1</v>
      </c>
      <c r="D129" s="13">
        <v>2</v>
      </c>
      <c r="E129" s="13" t="s">
        <v>984</v>
      </c>
      <c r="F129" s="13" t="s">
        <v>22</v>
      </c>
      <c r="G129" s="13"/>
      <c r="H129" s="13">
        <v>45</v>
      </c>
      <c r="I129" s="13">
        <v>30</v>
      </c>
      <c r="J129" s="13">
        <v>50</v>
      </c>
      <c r="K129" s="13">
        <v>55</v>
      </c>
      <c r="L129" s="13">
        <v>65</v>
      </c>
      <c r="M129" s="13">
        <v>45</v>
      </c>
      <c r="N129" s="18">
        <v>15</v>
      </c>
      <c r="O129" s="18" t="s">
        <v>820</v>
      </c>
      <c r="P129" s="13" t="s">
        <v>481</v>
      </c>
      <c r="Q129" t="str">
        <f>IFERROR(VLOOKUP(P129,MoveData[],3,FALSE),"")</f>
        <v>Psychic</v>
      </c>
      <c r="R129" t="str">
        <f>IFERROR(VLOOKUP(P129,MoveData[],4,FALSE),"")</f>
        <v>Special</v>
      </c>
      <c r="S129" s="14">
        <v>65</v>
      </c>
      <c r="T129" s="15">
        <v>100</v>
      </c>
      <c r="U129" s="13" t="s">
        <v>985</v>
      </c>
      <c r="V129" t="str">
        <f>IFERROR(VLOOKUP(U129,MoveData[],3,FALSE),"")</f>
        <v>Normal</v>
      </c>
      <c r="W129" t="str">
        <f>IFERROR(VLOOKUP(U129,MoveData[],4,FALSE),"")</f>
        <v>Status</v>
      </c>
      <c r="X129" s="14">
        <v>0</v>
      </c>
      <c r="Y129" s="15">
        <v>100</v>
      </c>
      <c r="Z129" s="13" t="s">
        <v>472</v>
      </c>
      <c r="AA129" t="str">
        <f>IFERROR(VLOOKUP(Z129,MoveData[],3,FALSE),"")</f>
        <v>Normal</v>
      </c>
      <c r="AB129" t="str">
        <f>IFERROR(VLOOKUP(Z129,MoveData[],4,FALSE),"")</f>
        <v>Physical</v>
      </c>
      <c r="AC129" s="14">
        <v>40</v>
      </c>
      <c r="AD129" s="15">
        <v>100</v>
      </c>
      <c r="AE129" s="13"/>
      <c r="AF129" t="str">
        <f>IFERROR(VLOOKUP(AE129,MoveData[],3,FALSE),"")</f>
        <v/>
      </c>
      <c r="AG129" t="str">
        <f>IFERROR(VLOOKUP(AE129,MoveData[],4,FALSE),"")</f>
        <v/>
      </c>
      <c r="AH129" s="14">
        <v>0</v>
      </c>
      <c r="AI129" s="15">
        <v>100</v>
      </c>
      <c r="AJ129" s="13" t="s">
        <v>986</v>
      </c>
      <c r="AK129" s="13" t="s">
        <v>837</v>
      </c>
    </row>
    <row r="130" spans="1:37">
      <c r="A130" s="13" t="s">
        <v>981</v>
      </c>
      <c r="B130" s="13" t="s">
        <v>1</v>
      </c>
      <c r="C130" s="13">
        <v>1</v>
      </c>
      <c r="D130" s="13">
        <v>3</v>
      </c>
      <c r="E130" s="13" t="s">
        <v>987</v>
      </c>
      <c r="F130" s="13" t="s">
        <v>22</v>
      </c>
      <c r="G130" s="13"/>
      <c r="H130" s="13">
        <v>42</v>
      </c>
      <c r="I130" s="13">
        <v>30</v>
      </c>
      <c r="J130" s="13">
        <v>45</v>
      </c>
      <c r="K130" s="13">
        <v>56</v>
      </c>
      <c r="L130" s="13">
        <v>53</v>
      </c>
      <c r="M130" s="13">
        <v>39</v>
      </c>
      <c r="N130" s="18">
        <v>16</v>
      </c>
      <c r="O130" s="18" t="s">
        <v>820</v>
      </c>
      <c r="P130" s="13" t="s">
        <v>213</v>
      </c>
      <c r="Q130" t="str">
        <f>IFERROR(VLOOKUP(P130,MoveData[],3,FALSE),"")</f>
        <v>Psychic</v>
      </c>
      <c r="R130" t="str">
        <f>IFERROR(VLOOKUP(P130,MoveData[],4,FALSE),"")</f>
        <v>Special</v>
      </c>
      <c r="S130" s="14">
        <v>50</v>
      </c>
      <c r="T130" s="15">
        <v>100</v>
      </c>
      <c r="U130" s="13" t="s">
        <v>60</v>
      </c>
      <c r="V130" t="str">
        <f>IFERROR(VLOOKUP(U130,MoveData[],3,FALSE),"")</f>
        <v>Normal</v>
      </c>
      <c r="W130" t="str">
        <f>IFERROR(VLOOKUP(U130,MoveData[],4,FALSE),"")</f>
        <v>Special</v>
      </c>
      <c r="X130" s="14">
        <v>60</v>
      </c>
      <c r="Y130" s="15">
        <v>100</v>
      </c>
      <c r="Z130" s="13" t="s">
        <v>229</v>
      </c>
      <c r="AA130" t="str">
        <f>IFERROR(VLOOKUP(Z130,MoveData[],3,FALSE),"")</f>
        <v>Fairy</v>
      </c>
      <c r="AB130" t="str">
        <f>IFERROR(VLOOKUP(Z130,MoveData[],4,FALSE),"")</f>
        <v>Special</v>
      </c>
      <c r="AC130" s="14">
        <v>40</v>
      </c>
      <c r="AD130" s="15">
        <v>100</v>
      </c>
      <c r="AE130" s="13"/>
      <c r="AF130" t="str">
        <f>IFERROR(VLOOKUP(AE130,MoveData[],3,FALSE),"")</f>
        <v/>
      </c>
      <c r="AG130" t="str">
        <f>IFERROR(VLOOKUP(AE130,MoveData[],4,FALSE),"")</f>
        <v/>
      </c>
      <c r="AH130" s="14">
        <v>0</v>
      </c>
      <c r="AI130" s="15">
        <v>100</v>
      </c>
      <c r="AJ130" s="13" t="s">
        <v>988</v>
      </c>
      <c r="AK130" s="13" t="s">
        <v>837</v>
      </c>
    </row>
    <row r="131" spans="1:37">
      <c r="A131" s="13" t="s">
        <v>981</v>
      </c>
      <c r="B131" s="13" t="s">
        <v>989</v>
      </c>
      <c r="C131" s="13">
        <v>2</v>
      </c>
      <c r="D131" s="13">
        <v>1</v>
      </c>
      <c r="E131" s="13" t="s">
        <v>982</v>
      </c>
      <c r="F131" s="13" t="s">
        <v>22</v>
      </c>
      <c r="G131" s="13"/>
      <c r="H131" s="13">
        <v>45</v>
      </c>
      <c r="I131" s="13">
        <v>30</v>
      </c>
      <c r="J131" s="13">
        <v>40</v>
      </c>
      <c r="K131" s="13">
        <v>105</v>
      </c>
      <c r="L131" s="13">
        <v>40</v>
      </c>
      <c r="M131" s="13">
        <v>20</v>
      </c>
      <c r="N131" s="18">
        <v>21</v>
      </c>
      <c r="O131" s="18" t="s">
        <v>820</v>
      </c>
      <c r="P131" s="13" t="s">
        <v>486</v>
      </c>
      <c r="Q131" t="str">
        <f>IFERROR(VLOOKUP(P131,MoveData[],3,FALSE),"")</f>
        <v>Psychic</v>
      </c>
      <c r="R131" t="str">
        <f>IFERROR(VLOOKUP(P131,MoveData[],4,FALSE),"")</f>
        <v>Special</v>
      </c>
      <c r="S131" s="14">
        <v>80</v>
      </c>
      <c r="T131" s="15">
        <v>100</v>
      </c>
      <c r="U131" s="13" t="s">
        <v>481</v>
      </c>
      <c r="V131" t="str">
        <f>IFERROR(VLOOKUP(U131,MoveData[],3,FALSE),"")</f>
        <v>Psychic</v>
      </c>
      <c r="W131" t="str">
        <f>IFERROR(VLOOKUP(U131,MoveData[],4,FALSE),"")</f>
        <v>Special</v>
      </c>
      <c r="X131" s="14">
        <v>65</v>
      </c>
      <c r="Y131" s="15">
        <v>100</v>
      </c>
      <c r="Z131" s="13" t="s">
        <v>266</v>
      </c>
      <c r="AA131" t="str">
        <f>IFERROR(VLOOKUP(Z131,MoveData[],3,FALSE),"")</f>
        <v>Normal</v>
      </c>
      <c r="AB131" t="str">
        <f>IFERROR(VLOOKUP(Z131,MoveData[],4,FALSE),"")</f>
        <v>Physical</v>
      </c>
      <c r="AC131" s="14">
        <v>0</v>
      </c>
      <c r="AD131" s="15">
        <v>100</v>
      </c>
      <c r="AE131" s="13"/>
      <c r="AF131" t="str">
        <f>IFERROR(VLOOKUP(AE131,MoveData[],3,FALSE),"")</f>
        <v/>
      </c>
      <c r="AG131" t="str">
        <f>IFERROR(VLOOKUP(AE131,MoveData[],4,FALSE),"")</f>
        <v/>
      </c>
      <c r="AH131" s="14">
        <v>0</v>
      </c>
      <c r="AI131" s="15">
        <v>100</v>
      </c>
      <c r="AJ131" s="13" t="s">
        <v>983</v>
      </c>
      <c r="AK131" s="13" t="s">
        <v>837</v>
      </c>
    </row>
    <row r="132" spans="1:37">
      <c r="A132" s="13" t="s">
        <v>981</v>
      </c>
      <c r="B132" s="13" t="s">
        <v>989</v>
      </c>
      <c r="C132" s="13">
        <v>2</v>
      </c>
      <c r="D132" s="13">
        <v>2</v>
      </c>
      <c r="E132" s="13" t="s">
        <v>984</v>
      </c>
      <c r="F132" s="13" t="s">
        <v>22</v>
      </c>
      <c r="G132" s="13"/>
      <c r="H132" s="13">
        <v>45</v>
      </c>
      <c r="I132" s="13">
        <v>30</v>
      </c>
      <c r="J132" s="13">
        <v>50</v>
      </c>
      <c r="K132" s="13">
        <v>55</v>
      </c>
      <c r="L132" s="13">
        <v>65</v>
      </c>
      <c r="M132" s="13">
        <v>45</v>
      </c>
      <c r="N132" s="18">
        <v>22</v>
      </c>
      <c r="O132" s="18" t="s">
        <v>820</v>
      </c>
      <c r="P132" s="13" t="s">
        <v>486</v>
      </c>
      <c r="Q132" t="str">
        <f>IFERROR(VLOOKUP(P132,MoveData[],3,FALSE),"")</f>
        <v>Psychic</v>
      </c>
      <c r="R132" t="str">
        <f>IFERROR(VLOOKUP(P132,MoveData[],4,FALSE),"")</f>
        <v>Special</v>
      </c>
      <c r="S132" s="14">
        <v>80</v>
      </c>
      <c r="T132" s="15">
        <v>100</v>
      </c>
      <c r="U132" s="13" t="s">
        <v>512</v>
      </c>
      <c r="V132" t="str">
        <f>IFERROR(VLOOKUP(U132,MoveData[],3,FALSE),"")</f>
        <v>Rock</v>
      </c>
      <c r="W132" t="str">
        <f>IFERROR(VLOOKUP(U132,MoveData[],4,FALSE),"")</f>
        <v>Physical</v>
      </c>
      <c r="X132" s="14">
        <v>60</v>
      </c>
      <c r="Y132" s="15">
        <v>95</v>
      </c>
      <c r="Z132" s="13" t="s">
        <v>481</v>
      </c>
      <c r="AA132" t="str">
        <f>IFERROR(VLOOKUP(Z132,MoveData[],3,FALSE),"")</f>
        <v>Psychic</v>
      </c>
      <c r="AB132" t="str">
        <f>IFERROR(VLOOKUP(Z132,MoveData[],4,FALSE),"")</f>
        <v>Special</v>
      </c>
      <c r="AC132" s="14">
        <v>65</v>
      </c>
      <c r="AD132" s="15">
        <v>100</v>
      </c>
      <c r="AE132" s="13"/>
      <c r="AF132" t="str">
        <f>IFERROR(VLOOKUP(AE132,MoveData[],3,FALSE),"")</f>
        <v/>
      </c>
      <c r="AG132" t="str">
        <f>IFERROR(VLOOKUP(AE132,MoveData[],4,FALSE),"")</f>
        <v/>
      </c>
      <c r="AH132" s="14">
        <v>0</v>
      </c>
      <c r="AI132" s="15">
        <v>100</v>
      </c>
      <c r="AJ132" s="13" t="s">
        <v>986</v>
      </c>
      <c r="AK132" s="13" t="s">
        <v>837</v>
      </c>
    </row>
    <row r="133" spans="1:37">
      <c r="A133" s="13" t="s">
        <v>981</v>
      </c>
      <c r="B133" s="13" t="s">
        <v>989</v>
      </c>
      <c r="C133" s="13">
        <v>2</v>
      </c>
      <c r="D133" s="13">
        <v>3</v>
      </c>
      <c r="E133" s="13" t="s">
        <v>990</v>
      </c>
      <c r="F133" s="13" t="s">
        <v>22</v>
      </c>
      <c r="G133" s="13"/>
      <c r="H133" s="13">
        <v>50</v>
      </c>
      <c r="I133" s="13">
        <v>85</v>
      </c>
      <c r="J133" s="13">
        <v>55</v>
      </c>
      <c r="K133" s="13">
        <v>65</v>
      </c>
      <c r="L133" s="13">
        <v>65</v>
      </c>
      <c r="M133" s="13">
        <v>90</v>
      </c>
      <c r="N133" s="18">
        <v>22</v>
      </c>
      <c r="O133" s="18" t="s">
        <v>820</v>
      </c>
      <c r="P133" s="13" t="s">
        <v>213</v>
      </c>
      <c r="Q133" t="str">
        <f>IFERROR(VLOOKUP(P133,MoveData[],3,FALSE),"")</f>
        <v>Psychic</v>
      </c>
      <c r="R133" t="str">
        <f>IFERROR(VLOOKUP(P133,MoveData[],4,FALSE),"")</f>
        <v>Special</v>
      </c>
      <c r="S133" s="14">
        <v>50</v>
      </c>
      <c r="T133" s="15">
        <v>100</v>
      </c>
      <c r="U133" s="13" t="s">
        <v>276</v>
      </c>
      <c r="V133" t="str">
        <f>IFERROR(VLOOKUP(U133,MoveData[],3,FALSE),"")</f>
        <v>Fairy</v>
      </c>
      <c r="W133" t="str">
        <f>IFERROR(VLOOKUP(U133,MoveData[],4,FALSE),"")</f>
        <v>Special</v>
      </c>
      <c r="X133" s="14">
        <v>40</v>
      </c>
      <c r="Y133" s="15">
        <v>100</v>
      </c>
      <c r="Z133" s="13"/>
      <c r="AA133" t="str">
        <f>IFERROR(VLOOKUP(Z133,MoveData[],3,FALSE),"")</f>
        <v/>
      </c>
      <c r="AB133" t="str">
        <f>IFERROR(VLOOKUP(Z133,MoveData[],4,FALSE),"")</f>
        <v/>
      </c>
      <c r="AC133" s="14">
        <v>0</v>
      </c>
      <c r="AD133" s="15">
        <v>100</v>
      </c>
      <c r="AE133" s="13"/>
      <c r="AF133" t="str">
        <f>IFERROR(VLOOKUP(AE133,MoveData[],3,FALSE),"")</f>
        <v/>
      </c>
      <c r="AG133" t="str">
        <f>IFERROR(VLOOKUP(AE133,MoveData[],4,FALSE),"")</f>
        <v/>
      </c>
      <c r="AH133" s="14">
        <v>0</v>
      </c>
      <c r="AI133" s="15">
        <v>100</v>
      </c>
      <c r="AJ133" s="13" t="s">
        <v>991</v>
      </c>
      <c r="AK133" s="13" t="s">
        <v>837</v>
      </c>
    </row>
    <row r="134" spans="1:37">
      <c r="A134" s="13" t="s">
        <v>981</v>
      </c>
      <c r="B134" s="13" t="s">
        <v>989</v>
      </c>
      <c r="C134" s="13">
        <v>2</v>
      </c>
      <c r="D134" s="13">
        <v>4</v>
      </c>
      <c r="E134" s="13" t="s">
        <v>987</v>
      </c>
      <c r="F134" s="13" t="s">
        <v>22</v>
      </c>
      <c r="G134" s="13"/>
      <c r="H134" s="13">
        <v>42</v>
      </c>
      <c r="I134" s="13">
        <v>30</v>
      </c>
      <c r="J134" s="13">
        <v>45</v>
      </c>
      <c r="K134" s="13">
        <v>56</v>
      </c>
      <c r="L134" s="13">
        <v>53</v>
      </c>
      <c r="M134" s="13">
        <v>39</v>
      </c>
      <c r="N134" s="18">
        <v>23</v>
      </c>
      <c r="O134" s="18" t="s">
        <v>820</v>
      </c>
      <c r="P134" s="13" t="s">
        <v>481</v>
      </c>
      <c r="Q134" t="str">
        <f>IFERROR(VLOOKUP(P134,MoveData[],3,FALSE),"")</f>
        <v>Psychic</v>
      </c>
      <c r="R134" t="str">
        <f>IFERROR(VLOOKUP(P134,MoveData[],4,FALSE),"")</f>
        <v>Special</v>
      </c>
      <c r="S134" s="14">
        <v>65</v>
      </c>
      <c r="T134" s="15">
        <v>100</v>
      </c>
      <c r="U134" s="13" t="s">
        <v>229</v>
      </c>
      <c r="V134" t="str">
        <f>IFERROR(VLOOKUP(U134,MoveData[],3,FALSE),"")</f>
        <v>Fairy</v>
      </c>
      <c r="W134" t="str">
        <f>IFERROR(VLOOKUP(U134,MoveData[],4,FALSE),"")</f>
        <v>Special</v>
      </c>
      <c r="X134" s="14">
        <v>40</v>
      </c>
      <c r="Y134" s="15">
        <v>100</v>
      </c>
      <c r="Z134" s="13"/>
      <c r="AA134" t="str">
        <f>IFERROR(VLOOKUP(Z134,MoveData[],3,FALSE),"")</f>
        <v/>
      </c>
      <c r="AB134" t="str">
        <f>IFERROR(VLOOKUP(Z134,MoveData[],4,FALSE),"")</f>
        <v/>
      </c>
      <c r="AC134" s="14">
        <v>0</v>
      </c>
      <c r="AD134" s="15">
        <v>100</v>
      </c>
      <c r="AE134" s="13"/>
      <c r="AF134" t="str">
        <f>IFERROR(VLOOKUP(AE134,MoveData[],3,FALSE),"")</f>
        <v/>
      </c>
      <c r="AG134" t="str">
        <f>IFERROR(VLOOKUP(AE134,MoveData[],4,FALSE),"")</f>
        <v/>
      </c>
      <c r="AH134" s="14">
        <v>0</v>
      </c>
      <c r="AI134" s="15">
        <v>100</v>
      </c>
      <c r="AJ134" s="13" t="s">
        <v>988</v>
      </c>
      <c r="AK134" s="13" t="s">
        <v>837</v>
      </c>
    </row>
    <row r="135" spans="1:37">
      <c r="A135" s="13" t="s">
        <v>981</v>
      </c>
      <c r="B135" s="13" t="s">
        <v>2</v>
      </c>
      <c r="C135" s="13">
        <v>3</v>
      </c>
      <c r="D135" s="13">
        <v>1</v>
      </c>
      <c r="E135" s="13" t="s">
        <v>992</v>
      </c>
      <c r="F135" s="13" t="s">
        <v>22</v>
      </c>
      <c r="G135" s="13"/>
      <c r="H135" s="13">
        <v>65</v>
      </c>
      <c r="I135" s="13">
        <v>40</v>
      </c>
      <c r="J135" s="13">
        <v>50</v>
      </c>
      <c r="K135" s="13">
        <v>125</v>
      </c>
      <c r="L135" s="13">
        <v>60</v>
      </c>
      <c r="M135" s="13">
        <v>30</v>
      </c>
      <c r="N135" s="18">
        <v>32</v>
      </c>
      <c r="O135" s="18" t="s">
        <v>820</v>
      </c>
      <c r="P135" s="13" t="s">
        <v>723</v>
      </c>
      <c r="Q135" t="str">
        <f>IFERROR(VLOOKUP(P135,MoveData[],3,FALSE),"")</f>
        <v>Psychic</v>
      </c>
      <c r="R135" t="str">
        <f>IFERROR(VLOOKUP(P135,MoveData[],4,FALSE),"")</f>
        <v>Status</v>
      </c>
      <c r="S135" s="14">
        <v>0</v>
      </c>
      <c r="T135" s="15">
        <v>100</v>
      </c>
      <c r="U135" s="13" t="s">
        <v>993</v>
      </c>
      <c r="V135" t="str">
        <f>IFERROR(VLOOKUP(U135,MoveData[],3,FALSE),"")</f>
        <v>Psychic</v>
      </c>
      <c r="W135" t="str">
        <f>IFERROR(VLOOKUP(U135,MoveData[],4,FALSE),"")</f>
        <v>Status</v>
      </c>
      <c r="X135" s="14">
        <v>0</v>
      </c>
      <c r="Y135" s="15">
        <v>100</v>
      </c>
      <c r="Z135" s="13" t="s">
        <v>486</v>
      </c>
      <c r="AA135" t="str">
        <f>IFERROR(VLOOKUP(Z135,MoveData[],3,FALSE),"")</f>
        <v>Psychic</v>
      </c>
      <c r="AB135" t="str">
        <f>IFERROR(VLOOKUP(Z135,MoveData[],4,FALSE),"")</f>
        <v>Special</v>
      </c>
      <c r="AC135" s="14">
        <v>80</v>
      </c>
      <c r="AD135" s="15">
        <v>100</v>
      </c>
      <c r="AE135" s="13" t="s">
        <v>481</v>
      </c>
      <c r="AF135" t="str">
        <f>IFERROR(VLOOKUP(AE135,MoveData[],3,FALSE),"")</f>
        <v>Psychic</v>
      </c>
      <c r="AG135" t="str">
        <f>IFERROR(VLOOKUP(AE135,MoveData[],4,FALSE),"")</f>
        <v>Special</v>
      </c>
      <c r="AH135" s="14">
        <v>65</v>
      </c>
      <c r="AI135" s="15">
        <v>100</v>
      </c>
      <c r="AJ135" s="13" t="s">
        <v>983</v>
      </c>
      <c r="AK135" s="13" t="s">
        <v>837</v>
      </c>
    </row>
    <row r="136" spans="1:37">
      <c r="A136" s="13" t="s">
        <v>981</v>
      </c>
      <c r="B136" s="13" t="s">
        <v>2</v>
      </c>
      <c r="C136" s="13">
        <v>3</v>
      </c>
      <c r="D136" s="13">
        <v>2</v>
      </c>
      <c r="E136" s="13" t="s">
        <v>994</v>
      </c>
      <c r="F136" s="13" t="s">
        <v>22</v>
      </c>
      <c r="G136" s="13"/>
      <c r="H136" s="13">
        <v>60</v>
      </c>
      <c r="I136" s="13">
        <v>45</v>
      </c>
      <c r="J136" s="13">
        <v>70</v>
      </c>
      <c r="K136" s="13">
        <v>75</v>
      </c>
      <c r="L136" s="13">
        <v>85</v>
      </c>
      <c r="M136" s="13">
        <v>55</v>
      </c>
      <c r="N136" s="18">
        <v>32</v>
      </c>
      <c r="O136" s="18" t="s">
        <v>820</v>
      </c>
      <c r="P136" s="13" t="s">
        <v>995</v>
      </c>
      <c r="Q136" t="str">
        <f>IFERROR(VLOOKUP(P136,MoveData[],3,FALSE),"")</f>
        <v>Dark</v>
      </c>
      <c r="R136" t="str">
        <f>IFERROR(VLOOKUP(P136,MoveData[],4,FALSE),"")</f>
        <v>Status</v>
      </c>
      <c r="S136" s="14">
        <v>0</v>
      </c>
      <c r="T136" s="15">
        <v>100</v>
      </c>
      <c r="U136" s="13" t="s">
        <v>481</v>
      </c>
      <c r="V136" t="str">
        <f>IFERROR(VLOOKUP(U136,MoveData[],3,FALSE),"")</f>
        <v>Psychic</v>
      </c>
      <c r="W136" t="str">
        <f>IFERROR(VLOOKUP(U136,MoveData[],4,FALSE),"")</f>
        <v>Special</v>
      </c>
      <c r="X136" s="14">
        <v>65</v>
      </c>
      <c r="Y136" s="15">
        <v>100</v>
      </c>
      <c r="Z136" s="13" t="s">
        <v>512</v>
      </c>
      <c r="AA136" t="str">
        <f>IFERROR(VLOOKUP(Z136,MoveData[],3,FALSE),"")</f>
        <v>Rock</v>
      </c>
      <c r="AB136" t="str">
        <f>IFERROR(VLOOKUP(Z136,MoveData[],4,FALSE),"")</f>
        <v>Physical</v>
      </c>
      <c r="AC136" s="14">
        <v>60</v>
      </c>
      <c r="AD136" s="15">
        <v>95</v>
      </c>
      <c r="AE136" s="13"/>
      <c r="AF136" t="str">
        <f>IFERROR(VLOOKUP(AE136,MoveData[],3,FALSE),"")</f>
        <v/>
      </c>
      <c r="AG136" t="str">
        <f>IFERROR(VLOOKUP(AE136,MoveData[],4,FALSE),"")</f>
        <v/>
      </c>
      <c r="AH136" s="14">
        <v>0</v>
      </c>
      <c r="AI136" s="15">
        <v>100</v>
      </c>
      <c r="AJ136" s="13" t="s">
        <v>986</v>
      </c>
      <c r="AK136" s="13" t="s">
        <v>837</v>
      </c>
    </row>
    <row r="137" spans="1:37">
      <c r="A137" s="13" t="s">
        <v>981</v>
      </c>
      <c r="B137" s="13" t="s">
        <v>2</v>
      </c>
      <c r="C137" s="13">
        <v>3</v>
      </c>
      <c r="D137" s="13">
        <v>3</v>
      </c>
      <c r="E137" s="13" t="s">
        <v>990</v>
      </c>
      <c r="F137" s="13" t="s">
        <v>22</v>
      </c>
      <c r="G137" s="13"/>
      <c r="H137" s="13">
        <v>50</v>
      </c>
      <c r="I137" s="13">
        <v>85</v>
      </c>
      <c r="J137" s="13">
        <v>55</v>
      </c>
      <c r="K137" s="13">
        <v>65</v>
      </c>
      <c r="L137" s="13">
        <v>65</v>
      </c>
      <c r="M137" s="13">
        <v>90</v>
      </c>
      <c r="N137" s="18">
        <v>33</v>
      </c>
      <c r="O137" s="18" t="s">
        <v>820</v>
      </c>
      <c r="P137" s="13" t="s">
        <v>276</v>
      </c>
      <c r="Q137" t="str">
        <f>IFERROR(VLOOKUP(P137,MoveData[],3,FALSE),"")</f>
        <v>Fairy</v>
      </c>
      <c r="R137" t="str">
        <f>IFERROR(VLOOKUP(P137,MoveData[],4,FALSE),"")</f>
        <v>Special</v>
      </c>
      <c r="S137" s="14">
        <v>40</v>
      </c>
      <c r="T137" s="15">
        <v>100</v>
      </c>
      <c r="U137" s="13" t="s">
        <v>481</v>
      </c>
      <c r="V137" t="str">
        <f>IFERROR(VLOOKUP(U137,MoveData[],3,FALSE),"")</f>
        <v>Psychic</v>
      </c>
      <c r="W137" t="str">
        <f>IFERROR(VLOOKUP(U137,MoveData[],4,FALSE),"")</f>
        <v>Special</v>
      </c>
      <c r="X137" s="14">
        <v>65</v>
      </c>
      <c r="Y137" s="15">
        <v>100</v>
      </c>
      <c r="Z137" s="13" t="s">
        <v>76</v>
      </c>
      <c r="AA137" t="str">
        <f>IFERROR(VLOOKUP(Z137,MoveData[],3,FALSE),"")</f>
        <v>Psychic</v>
      </c>
      <c r="AB137" t="str">
        <f>IFERROR(VLOOKUP(Z137,MoveData[],4,FALSE),"")</f>
        <v>Status</v>
      </c>
      <c r="AC137" s="14">
        <v>0</v>
      </c>
      <c r="AD137" s="15">
        <v>100</v>
      </c>
      <c r="AE137" s="13"/>
      <c r="AF137" t="str">
        <f>IFERROR(VLOOKUP(AE137,MoveData[],3,FALSE),"")</f>
        <v/>
      </c>
      <c r="AG137" t="str">
        <f>IFERROR(VLOOKUP(AE137,MoveData[],4,FALSE),"")</f>
        <v/>
      </c>
      <c r="AH137" s="14">
        <v>0</v>
      </c>
      <c r="AI137" s="15">
        <v>100</v>
      </c>
      <c r="AJ137" s="13" t="s">
        <v>991</v>
      </c>
      <c r="AK137" s="13" t="s">
        <v>837</v>
      </c>
    </row>
    <row r="138" spans="1:37">
      <c r="A138" s="13" t="s">
        <v>981</v>
      </c>
      <c r="B138" s="13" t="s">
        <v>2</v>
      </c>
      <c r="C138" s="13">
        <v>3</v>
      </c>
      <c r="D138" s="13">
        <v>4</v>
      </c>
      <c r="E138" s="13" t="s">
        <v>996</v>
      </c>
      <c r="F138" s="13" t="s">
        <v>22</v>
      </c>
      <c r="G138" s="13"/>
      <c r="H138" s="13">
        <v>57</v>
      </c>
      <c r="I138" s="13">
        <v>40</v>
      </c>
      <c r="J138" s="13">
        <v>65</v>
      </c>
      <c r="K138" s="13">
        <v>86</v>
      </c>
      <c r="L138" s="13">
        <v>73</v>
      </c>
      <c r="M138" s="13">
        <v>49</v>
      </c>
      <c r="N138" s="18">
        <v>35</v>
      </c>
      <c r="O138" s="18" t="s">
        <v>820</v>
      </c>
      <c r="P138" s="13" t="s">
        <v>225</v>
      </c>
      <c r="Q138" t="str">
        <f>IFERROR(VLOOKUP(P138,MoveData[],3,FALSE),"")</f>
        <v>Fairy</v>
      </c>
      <c r="R138" t="str">
        <f>IFERROR(VLOOKUP(P138,MoveData[],4,FALSE),"")</f>
        <v>Special</v>
      </c>
      <c r="S138" s="14">
        <v>80</v>
      </c>
      <c r="T138" s="15">
        <v>100</v>
      </c>
      <c r="U138" s="13" t="s">
        <v>481</v>
      </c>
      <c r="V138" t="str">
        <f>IFERROR(VLOOKUP(U138,MoveData[],3,FALSE),"")</f>
        <v>Psychic</v>
      </c>
      <c r="W138" t="str">
        <f>IFERROR(VLOOKUP(U138,MoveData[],4,FALSE),"")</f>
        <v>Special</v>
      </c>
      <c r="X138" s="14">
        <v>65</v>
      </c>
      <c r="Y138" s="15">
        <v>100</v>
      </c>
      <c r="Z138" s="13"/>
      <c r="AA138" t="str">
        <f>IFERROR(VLOOKUP(Z138,MoveData[],3,FALSE),"")</f>
        <v/>
      </c>
      <c r="AB138" t="str">
        <f>IFERROR(VLOOKUP(Z138,MoveData[],4,FALSE),"")</f>
        <v/>
      </c>
      <c r="AC138" s="14">
        <v>0</v>
      </c>
      <c r="AD138" s="15">
        <v>100</v>
      </c>
      <c r="AE138" s="13"/>
      <c r="AF138" t="str">
        <f>IFERROR(VLOOKUP(AE138,MoveData[],3,FALSE),"")</f>
        <v/>
      </c>
      <c r="AG138" t="str">
        <f>IFERROR(VLOOKUP(AE138,MoveData[],4,FALSE),"")</f>
        <v/>
      </c>
      <c r="AH138" s="14">
        <v>0</v>
      </c>
      <c r="AI138" s="15">
        <v>100</v>
      </c>
      <c r="AJ138" s="13" t="s">
        <v>988</v>
      </c>
      <c r="AK138" s="13" t="s">
        <v>837</v>
      </c>
    </row>
    <row r="139" spans="1:37">
      <c r="A139" s="13" t="s">
        <v>981</v>
      </c>
      <c r="B139" s="13" t="s">
        <v>99</v>
      </c>
      <c r="C139" s="13">
        <v>4</v>
      </c>
      <c r="D139" s="13">
        <v>1</v>
      </c>
      <c r="E139" s="13" t="s">
        <v>746</v>
      </c>
      <c r="F139" s="13" t="s">
        <v>24</v>
      </c>
      <c r="G139" s="13" t="s">
        <v>44</v>
      </c>
      <c r="H139" s="13">
        <v>50</v>
      </c>
      <c r="I139" s="13">
        <v>85</v>
      </c>
      <c r="J139" s="13">
        <v>85</v>
      </c>
      <c r="K139" s="13">
        <v>55</v>
      </c>
      <c r="L139" s="13">
        <v>55</v>
      </c>
      <c r="M139" s="13">
        <v>50</v>
      </c>
      <c r="N139" s="18">
        <v>51</v>
      </c>
      <c r="O139" s="18" t="s">
        <v>820</v>
      </c>
      <c r="P139" s="13" t="s">
        <v>464</v>
      </c>
      <c r="Q139" t="str">
        <f>IFERROR(VLOOKUP(P139,MoveData[],3,FALSE),"")</f>
        <v>Fairy</v>
      </c>
      <c r="R139" t="str">
        <f>IFERROR(VLOOKUP(P139,MoveData[],4,FALSE),"")</f>
        <v>Physical</v>
      </c>
      <c r="S139" s="14">
        <v>90</v>
      </c>
      <c r="T139" s="15">
        <v>90</v>
      </c>
      <c r="U139" s="13" t="s">
        <v>375</v>
      </c>
      <c r="V139" t="str">
        <f>IFERROR(VLOOKUP(U139,MoveData[],3,FALSE),"")</f>
        <v>Steel</v>
      </c>
      <c r="W139" t="str">
        <f>IFERROR(VLOOKUP(U139,MoveData[],4,FALSE),"")</f>
        <v>Physical</v>
      </c>
      <c r="X139" s="14">
        <v>80</v>
      </c>
      <c r="Y139" s="15">
        <v>100</v>
      </c>
      <c r="Z139" s="13" t="s">
        <v>37</v>
      </c>
      <c r="AA139" t="str">
        <f>IFERROR(VLOOKUP(Z139,MoveData[],3,FALSE),"")</f>
        <v>Dark</v>
      </c>
      <c r="AB139" t="str">
        <f>IFERROR(VLOOKUP(Z139,MoveData[],4,FALSE),"")</f>
        <v>Physical</v>
      </c>
      <c r="AC139" s="14">
        <v>80</v>
      </c>
      <c r="AD139" s="15">
        <v>100</v>
      </c>
      <c r="AE139" s="13"/>
      <c r="AF139" t="str">
        <f>IFERROR(VLOOKUP(AE139,MoveData[],3,FALSE),"")</f>
        <v/>
      </c>
      <c r="AG139" t="str">
        <f>IFERROR(VLOOKUP(AE139,MoveData[],4,FALSE),"")</f>
        <v/>
      </c>
      <c r="AH139" s="14">
        <v>0</v>
      </c>
      <c r="AI139" s="15">
        <v>100</v>
      </c>
      <c r="AJ139" s="13" t="s">
        <v>830</v>
      </c>
      <c r="AK139" s="13" t="s">
        <v>831</v>
      </c>
    </row>
    <row r="140" spans="1:37">
      <c r="A140" s="13" t="s">
        <v>981</v>
      </c>
      <c r="B140" s="13" t="s">
        <v>99</v>
      </c>
      <c r="C140" s="13">
        <v>4</v>
      </c>
      <c r="D140" s="13">
        <v>2</v>
      </c>
      <c r="E140" s="13" t="s">
        <v>997</v>
      </c>
      <c r="F140" s="13" t="s">
        <v>22</v>
      </c>
      <c r="G140" s="13" t="s">
        <v>44</v>
      </c>
      <c r="H140" s="13">
        <v>68</v>
      </c>
      <c r="I140" s="13">
        <v>65</v>
      </c>
      <c r="J140" s="13">
        <v>65</v>
      </c>
      <c r="K140" s="13">
        <v>125</v>
      </c>
      <c r="L140" s="13">
        <v>115</v>
      </c>
      <c r="M140" s="13">
        <v>80</v>
      </c>
      <c r="N140" s="18">
        <v>51</v>
      </c>
      <c r="O140" s="18" t="s">
        <v>820</v>
      </c>
      <c r="P140" s="13" t="s">
        <v>225</v>
      </c>
      <c r="Q140" t="str">
        <f>IFERROR(VLOOKUP(P140,MoveData[],3,FALSE),"")</f>
        <v>Fairy</v>
      </c>
      <c r="R140" t="str">
        <f>IFERROR(VLOOKUP(P140,MoveData[],4,FALSE),"")</f>
        <v>Special</v>
      </c>
      <c r="S140" s="14">
        <v>80</v>
      </c>
      <c r="T140" s="15">
        <v>100</v>
      </c>
      <c r="U140" s="13" t="s">
        <v>22</v>
      </c>
      <c r="V140" t="str">
        <f>IFERROR(VLOOKUP(U140,MoveData[],3,FALSE),"")</f>
        <v>Psychic</v>
      </c>
      <c r="W140" t="str">
        <f>IFERROR(VLOOKUP(U140,MoveData[],4,FALSE),"")</f>
        <v>Special</v>
      </c>
      <c r="X140" s="14">
        <v>90</v>
      </c>
      <c r="Y140" s="15">
        <v>100</v>
      </c>
      <c r="Z140" s="13" t="s">
        <v>998</v>
      </c>
      <c r="AA140" t="str">
        <f>IFERROR(VLOOKUP(Z140,MoveData[],3,FALSE),"")</f>
        <v>Psychic</v>
      </c>
      <c r="AB140" t="str">
        <f>IFERROR(VLOOKUP(Z140,MoveData[],4,FALSE),"")</f>
        <v>Status</v>
      </c>
      <c r="AC140" s="14">
        <v>0</v>
      </c>
      <c r="AD140" s="15">
        <v>100</v>
      </c>
      <c r="AE140" s="13" t="s">
        <v>999</v>
      </c>
      <c r="AF140" t="str">
        <f>IFERROR(VLOOKUP(AE140,MoveData[],3,FALSE),"")</f>
        <v/>
      </c>
      <c r="AG140" t="str">
        <f>IFERROR(VLOOKUP(AE140,MoveData[],4,FALSE),"")</f>
        <v/>
      </c>
      <c r="AH140" s="14">
        <v>0</v>
      </c>
      <c r="AI140" s="15">
        <v>100</v>
      </c>
      <c r="AJ140" s="13" t="s">
        <v>1000</v>
      </c>
      <c r="AK140" s="13" t="s">
        <v>837</v>
      </c>
    </row>
    <row r="141" spans="1:37">
      <c r="A141" s="13" t="s">
        <v>981</v>
      </c>
      <c r="B141" s="13" t="s">
        <v>99</v>
      </c>
      <c r="C141" s="13">
        <v>4</v>
      </c>
      <c r="D141" s="13">
        <v>3</v>
      </c>
      <c r="E141" s="13" t="s">
        <v>1001</v>
      </c>
      <c r="F141" s="13" t="s">
        <v>22</v>
      </c>
      <c r="G141" s="13" t="s">
        <v>44</v>
      </c>
      <c r="H141" s="13">
        <v>65</v>
      </c>
      <c r="I141" s="13">
        <v>100</v>
      </c>
      <c r="J141" s="13">
        <v>70</v>
      </c>
      <c r="K141" s="13">
        <v>80</v>
      </c>
      <c r="L141" s="13">
        <v>80</v>
      </c>
      <c r="M141" s="13">
        <v>105</v>
      </c>
      <c r="N141" s="18">
        <v>52</v>
      </c>
      <c r="O141" s="18" t="s">
        <v>820</v>
      </c>
      <c r="P141" s="13" t="s">
        <v>484</v>
      </c>
      <c r="Q141" t="str">
        <f>IFERROR(VLOOKUP(P141,MoveData[],3,FALSE),"")</f>
        <v>Psychic</v>
      </c>
      <c r="R141" t="str">
        <f>IFERROR(VLOOKUP(P141,MoveData[],4,FALSE),"")</f>
        <v>Physical</v>
      </c>
      <c r="S141" s="14">
        <v>70</v>
      </c>
      <c r="T141" s="15">
        <v>100</v>
      </c>
      <c r="U141" s="13" t="s">
        <v>605</v>
      </c>
      <c r="V141" t="str">
        <f>IFERROR(VLOOKUP(U141,MoveData[],3,FALSE),"")</f>
        <v>Normal</v>
      </c>
      <c r="W141" t="str">
        <f>IFERROR(VLOOKUP(U141,MoveData[],4,FALSE),"")</f>
        <v>Physical</v>
      </c>
      <c r="X141" s="14">
        <v>90</v>
      </c>
      <c r="Y141" s="15">
        <v>85</v>
      </c>
      <c r="Z141" s="13" t="s">
        <v>225</v>
      </c>
      <c r="AA141" t="str">
        <f>IFERROR(VLOOKUP(Z141,MoveData[],3,FALSE),"")</f>
        <v>Fairy</v>
      </c>
      <c r="AB141" t="str">
        <f>IFERROR(VLOOKUP(Z141,MoveData[],4,FALSE),"")</f>
        <v>Special</v>
      </c>
      <c r="AC141" s="14">
        <v>80</v>
      </c>
      <c r="AD141" s="15">
        <v>100</v>
      </c>
      <c r="AE141" s="13" t="s">
        <v>493</v>
      </c>
      <c r="AF141" t="str">
        <f>IFERROR(VLOOKUP(AE141,MoveData[],3,FALSE),"")</f>
        <v>Normal</v>
      </c>
      <c r="AG141" t="str">
        <f>IFERROR(VLOOKUP(AE141,MoveData[],4,FALSE),"")</f>
        <v>Physical</v>
      </c>
      <c r="AH141" s="14">
        <v>40</v>
      </c>
      <c r="AI141" s="15">
        <v>100</v>
      </c>
      <c r="AJ141" s="13" t="s">
        <v>991</v>
      </c>
      <c r="AK141" s="13" t="s">
        <v>837</v>
      </c>
    </row>
    <row r="142" spans="1:37">
      <c r="A142" s="13" t="s">
        <v>981</v>
      </c>
      <c r="B142" s="13" t="s">
        <v>99</v>
      </c>
      <c r="C142" s="13">
        <v>4</v>
      </c>
      <c r="D142" s="13">
        <v>4</v>
      </c>
      <c r="E142" s="13" t="s">
        <v>1002</v>
      </c>
      <c r="F142" s="13" t="s">
        <v>22</v>
      </c>
      <c r="G142" s="13" t="s">
        <v>44</v>
      </c>
      <c r="H142" s="13">
        <v>57</v>
      </c>
      <c r="I142" s="13">
        <v>90</v>
      </c>
      <c r="J142" s="13">
        <v>95</v>
      </c>
      <c r="K142" s="13">
        <v>136</v>
      </c>
      <c r="L142" s="13">
        <v>103</v>
      </c>
      <c r="M142" s="13">
        <v>29</v>
      </c>
      <c r="N142" s="18">
        <v>53</v>
      </c>
      <c r="O142" s="18" t="s">
        <v>820</v>
      </c>
      <c r="P142" s="13" t="s">
        <v>1003</v>
      </c>
      <c r="Q142" t="s">
        <v>44</v>
      </c>
      <c r="R142" t="s">
        <v>42</v>
      </c>
      <c r="S142" s="14">
        <v>130</v>
      </c>
      <c r="T142" s="15">
        <v>100</v>
      </c>
      <c r="U142" s="13" t="s">
        <v>410</v>
      </c>
      <c r="V142" t="s">
        <v>22</v>
      </c>
      <c r="W142" t="s">
        <v>42</v>
      </c>
      <c r="X142" s="14">
        <v>130</v>
      </c>
      <c r="Y142" s="15">
        <v>100</v>
      </c>
      <c r="Z142" s="13" t="s">
        <v>669</v>
      </c>
      <c r="AA142" t="str">
        <f>IFERROR(VLOOKUP(Z142,MoveData[],3,FALSE),"")</f>
        <v>Normal</v>
      </c>
      <c r="AB142" t="str">
        <f>IFERROR(VLOOKUP(Z142,MoveData[],4,FALSE),"")</f>
        <v>Status</v>
      </c>
      <c r="AC142" s="14">
        <v>0</v>
      </c>
      <c r="AD142" s="15">
        <v>100</v>
      </c>
      <c r="AE142" s="13"/>
      <c r="AF142" t="str">
        <f>IFERROR(VLOOKUP(AE142,MoveData[],3,FALSE),"")</f>
        <v/>
      </c>
      <c r="AG142" t="str">
        <f>IFERROR(VLOOKUP(AE142,MoveData[],4,FALSE),"")</f>
        <v/>
      </c>
      <c r="AH142" s="14">
        <v>0</v>
      </c>
      <c r="AI142" s="15">
        <v>100</v>
      </c>
      <c r="AJ142" s="13" t="s">
        <v>1004</v>
      </c>
      <c r="AK142" s="13" t="s">
        <v>831</v>
      </c>
    </row>
    <row r="143" spans="1:37">
      <c r="A143" s="13" t="s">
        <v>1031</v>
      </c>
      <c r="B143" s="13" t="s">
        <v>1020</v>
      </c>
      <c r="C143" s="13">
        <v>1</v>
      </c>
      <c r="D143" s="13">
        <v>1</v>
      </c>
      <c r="E143" s="13" t="s">
        <v>116</v>
      </c>
      <c r="F143" s="13" t="s">
        <v>34</v>
      </c>
      <c r="G143" s="13" t="s">
        <v>35</v>
      </c>
      <c r="H143" s="13">
        <v>60</v>
      </c>
      <c r="I143" s="13">
        <v>50</v>
      </c>
      <c r="J143" s="13">
        <v>100</v>
      </c>
      <c r="K143" s="13">
        <v>95</v>
      </c>
      <c r="L143" s="13">
        <v>70</v>
      </c>
      <c r="M143" s="13">
        <v>65</v>
      </c>
      <c r="N143" s="18">
        <v>45</v>
      </c>
      <c r="O143" s="18" t="s">
        <v>820</v>
      </c>
      <c r="P143" s="13" t="s">
        <v>119</v>
      </c>
      <c r="Q143" t="str">
        <f>IFERROR(VLOOKUP(P143,MoveData[],3,FALSE),"")</f>
        <v>Flying</v>
      </c>
      <c r="R143" t="str">
        <f>IFERROR(VLOOKUP(P143,MoveData[],4,FALSE),"")</f>
        <v>Status</v>
      </c>
      <c r="S143" s="14">
        <v>0</v>
      </c>
      <c r="T143" s="15">
        <v>100</v>
      </c>
      <c r="U143" s="13" t="s">
        <v>73</v>
      </c>
      <c r="V143" t="str">
        <f>IFERROR(VLOOKUP(U143,MoveData[],3,FALSE),"")</f>
        <v>Water</v>
      </c>
      <c r="W143" t="str">
        <f>IFERROR(VLOOKUP(U143,MoveData[],4,FALSE),"")</f>
        <v>Special</v>
      </c>
      <c r="X143" s="14">
        <v>60</v>
      </c>
      <c r="Y143" s="15">
        <v>100</v>
      </c>
      <c r="Z143" s="13" t="s">
        <v>1021</v>
      </c>
      <c r="AA143" t="str">
        <f>IFERROR(VLOOKUP(Z143,MoveData[],3,FALSE),"")</f>
        <v>Normal</v>
      </c>
      <c r="AB143" t="str">
        <f>IFERROR(VLOOKUP(Z143,MoveData[],4,FALSE),"")</f>
        <v>Status</v>
      </c>
      <c r="AC143" s="14">
        <v>0</v>
      </c>
      <c r="AD143" s="15">
        <v>55</v>
      </c>
      <c r="AE143" s="13" t="s">
        <v>120</v>
      </c>
      <c r="AF143" t="str">
        <f>IFERROR(VLOOKUP(AE143,MoveData[],3,FALSE),"")</f>
        <v>Flying</v>
      </c>
      <c r="AG143" t="str">
        <f>IFERROR(VLOOKUP(AE143,MoveData[],4,FALSE),"")</f>
        <v>Special</v>
      </c>
      <c r="AH143" s="14">
        <v>75</v>
      </c>
      <c r="AI143" s="15">
        <v>95</v>
      </c>
      <c r="AJ143" s="13" t="s">
        <v>880</v>
      </c>
      <c r="AK143" s="13" t="s">
        <v>831</v>
      </c>
    </row>
    <row r="144" spans="1:37">
      <c r="A144" s="13" t="s">
        <v>1031</v>
      </c>
      <c r="B144" s="13" t="s">
        <v>1020</v>
      </c>
      <c r="C144" s="13">
        <v>1</v>
      </c>
      <c r="D144" s="13">
        <v>2</v>
      </c>
      <c r="E144" s="13" t="s">
        <v>1022</v>
      </c>
      <c r="F144" s="13" t="s">
        <v>47</v>
      </c>
      <c r="G144" s="13"/>
      <c r="H144" s="13">
        <v>68</v>
      </c>
      <c r="I144" s="13">
        <v>75</v>
      </c>
      <c r="J144" s="13">
        <v>53</v>
      </c>
      <c r="K144" s="13">
        <v>83</v>
      </c>
      <c r="L144" s="13">
        <v>113</v>
      </c>
      <c r="M144" s="13">
        <v>60</v>
      </c>
      <c r="N144" s="18">
        <v>45</v>
      </c>
      <c r="O144" s="18" t="s">
        <v>820</v>
      </c>
      <c r="P144" s="13" t="s">
        <v>73</v>
      </c>
      <c r="Q144" t="str">
        <f>IFERROR(VLOOKUP(P144,MoveData[],3,FALSE),"")</f>
        <v>Water</v>
      </c>
      <c r="R144" t="str">
        <f>IFERROR(VLOOKUP(P144,MoveData[],4,FALSE),"")</f>
        <v>Special</v>
      </c>
      <c r="S144" s="14">
        <v>60</v>
      </c>
      <c r="T144" s="15">
        <v>100</v>
      </c>
      <c r="U144" s="13" t="s">
        <v>245</v>
      </c>
      <c r="V144" t="str">
        <f>IFERROR(VLOOKUP(U144,MoveData[],3,FALSE),"")</f>
        <v>Dragon</v>
      </c>
      <c r="W144" t="str">
        <f>IFERROR(VLOOKUP(U144,MoveData[],4,FALSE),"")</f>
        <v>Special</v>
      </c>
      <c r="X144" s="14">
        <v>85</v>
      </c>
      <c r="Y144" s="15">
        <v>100</v>
      </c>
      <c r="Z144" s="13" t="s">
        <v>140</v>
      </c>
      <c r="AA144" t="str">
        <f>IFERROR(VLOOKUP(Z144,MoveData[],3,FALSE),"")</f>
        <v>Poison</v>
      </c>
      <c r="AB144" t="str">
        <f>IFERROR(VLOOKUP(Z144,MoveData[],4,FALSE),"")</f>
        <v>Special</v>
      </c>
      <c r="AC144" s="14">
        <v>40</v>
      </c>
      <c r="AD144" s="15">
        <v>100</v>
      </c>
      <c r="AE144" s="13" t="s">
        <v>240</v>
      </c>
      <c r="AF144" t="str">
        <f>IFERROR(VLOOKUP(AE144,MoveData[],3,FALSE),"")</f>
        <v>Dragon</v>
      </c>
      <c r="AG144" t="str">
        <f>IFERROR(VLOOKUP(AE144,MoveData[],4,FALSE),"")</f>
        <v>Special</v>
      </c>
      <c r="AH144" s="14">
        <v>60</v>
      </c>
      <c r="AI144" s="15">
        <v>100</v>
      </c>
      <c r="AJ144" s="13" t="s">
        <v>882</v>
      </c>
      <c r="AK144" s="13" t="s">
        <v>837</v>
      </c>
    </row>
    <row r="145" spans="1:37">
      <c r="A145" s="13" t="s">
        <v>1032</v>
      </c>
      <c r="B145" s="13" t="s">
        <v>1020</v>
      </c>
      <c r="C145" s="13">
        <v>1</v>
      </c>
      <c r="D145" s="13">
        <v>1</v>
      </c>
      <c r="E145" s="13" t="s">
        <v>665</v>
      </c>
      <c r="F145" s="13" t="s">
        <v>19</v>
      </c>
      <c r="G145" s="13"/>
      <c r="H145" s="13">
        <v>73</v>
      </c>
      <c r="I145" s="13">
        <v>76</v>
      </c>
      <c r="J145" s="13">
        <v>75</v>
      </c>
      <c r="K145" s="13">
        <v>81</v>
      </c>
      <c r="L145" s="13">
        <v>100</v>
      </c>
      <c r="M145" s="13">
        <v>100</v>
      </c>
      <c r="N145" s="18">
        <v>45</v>
      </c>
      <c r="O145" s="18" t="s">
        <v>820</v>
      </c>
      <c r="P145" s="13" t="s">
        <v>666</v>
      </c>
      <c r="Q145" t="str">
        <f>IFERROR(VLOOKUP(P145,MoveData[],3,FALSE),"")</f>
        <v>Fire</v>
      </c>
      <c r="R145" t="str">
        <f>IFERROR(VLOOKUP(P145,MoveData[],4,FALSE),"")</f>
        <v>Status</v>
      </c>
      <c r="S145" s="14">
        <v>0</v>
      </c>
      <c r="T145" s="15">
        <v>85</v>
      </c>
      <c r="U145" s="13" t="s">
        <v>297</v>
      </c>
      <c r="V145" t="str">
        <f>IFERROR(VLOOKUP(U145,MoveData[],3,FALSE),"")</f>
        <v>Fire</v>
      </c>
      <c r="W145" t="str">
        <f>IFERROR(VLOOKUP(U145,MoveData[],4,FALSE),"")</f>
        <v>Special</v>
      </c>
      <c r="X145" s="14">
        <v>90</v>
      </c>
      <c r="Y145" s="15">
        <v>100</v>
      </c>
      <c r="Z145" s="13" t="s">
        <v>1023</v>
      </c>
      <c r="AA145" t="str">
        <f>IFERROR(VLOOKUP(Z145,MoveData[],3,FALSE),"")</f>
        <v>Normal</v>
      </c>
      <c r="AB145" t="str">
        <f>IFERROR(VLOOKUP(Z145,MoveData[],4,FALSE),"")</f>
        <v>Status</v>
      </c>
      <c r="AC145" s="14">
        <v>0</v>
      </c>
      <c r="AD145" s="15">
        <v>100</v>
      </c>
      <c r="AE145" s="13" t="s">
        <v>273</v>
      </c>
      <c r="AF145" t="str">
        <f>IFERROR(VLOOKUP(AE145,MoveData[],3,FALSE),"")</f>
        <v>Psychic</v>
      </c>
      <c r="AG145" t="str">
        <f>IFERROR(VLOOKUP(AE145,MoveData[],4,FALSE),"")</f>
        <v>Special</v>
      </c>
      <c r="AH145" s="14">
        <v>80</v>
      </c>
      <c r="AI145" s="15">
        <v>100</v>
      </c>
      <c r="AJ145" s="13" t="s">
        <v>844</v>
      </c>
      <c r="AK145" s="13" t="s">
        <v>837</v>
      </c>
    </row>
    <row r="146" spans="1:37">
      <c r="A146" s="13" t="s">
        <v>1032</v>
      </c>
      <c r="B146" s="13" t="s">
        <v>1020</v>
      </c>
      <c r="C146" s="13">
        <v>1</v>
      </c>
      <c r="D146" s="13">
        <v>2</v>
      </c>
      <c r="E146" s="13" t="s">
        <v>775</v>
      </c>
      <c r="F146" s="13" t="s">
        <v>19</v>
      </c>
      <c r="G146" s="13" t="s">
        <v>47</v>
      </c>
      <c r="H146" s="13">
        <v>60</v>
      </c>
      <c r="I146" s="13">
        <v>78</v>
      </c>
      <c r="J146" s="13">
        <v>135</v>
      </c>
      <c r="K146" s="13">
        <v>91</v>
      </c>
      <c r="L146" s="13">
        <v>85</v>
      </c>
      <c r="M146" s="13">
        <v>36</v>
      </c>
      <c r="N146" s="18">
        <v>45</v>
      </c>
      <c r="O146" s="18" t="s">
        <v>820</v>
      </c>
      <c r="P146" s="13" t="s">
        <v>297</v>
      </c>
      <c r="Q146" t="str">
        <f>IFERROR(VLOOKUP(P146,MoveData[],3,FALSE),"")</f>
        <v>Fire</v>
      </c>
      <c r="R146" t="str">
        <f>IFERROR(VLOOKUP(P146,MoveData[],4,FALSE),"")</f>
        <v>Special</v>
      </c>
      <c r="S146" s="14">
        <v>90</v>
      </c>
      <c r="T146" s="15">
        <v>100</v>
      </c>
      <c r="U146" s="13" t="s">
        <v>245</v>
      </c>
      <c r="V146" t="str">
        <f>IFERROR(VLOOKUP(U146,MoveData[],3,FALSE),"")</f>
        <v>Dragon</v>
      </c>
      <c r="W146" t="str">
        <f>IFERROR(VLOOKUP(U146,MoveData[],4,FALSE),"")</f>
        <v>Special</v>
      </c>
      <c r="X146" s="14">
        <v>85</v>
      </c>
      <c r="Y146" s="15">
        <v>100</v>
      </c>
      <c r="Z146" s="13" t="s">
        <v>540</v>
      </c>
      <c r="AA146" t="str">
        <f>IFERROR(VLOOKUP(Z146,MoveData[],3,FALSE),"")</f>
        <v>Fire</v>
      </c>
      <c r="AB146" t="str">
        <f>IFERROR(VLOOKUP(Z146,MoveData[],4,FALSE),"")</f>
        <v>Special</v>
      </c>
      <c r="AC146" s="14">
        <v>150</v>
      </c>
      <c r="AD146" s="15">
        <v>100</v>
      </c>
      <c r="AE146" s="13" t="s">
        <v>512</v>
      </c>
      <c r="AF146" t="str">
        <f>IFERROR(VLOOKUP(AE146,MoveData[],3,FALSE),"")</f>
        <v>Rock</v>
      </c>
      <c r="AG146" t="str">
        <f>IFERROR(VLOOKUP(AE146,MoveData[],4,FALSE),"")</f>
        <v>Physical</v>
      </c>
      <c r="AH146" s="14">
        <v>60</v>
      </c>
      <c r="AI146" s="15">
        <v>95</v>
      </c>
      <c r="AJ146" s="13" t="s">
        <v>883</v>
      </c>
      <c r="AK146" s="13" t="s">
        <v>837</v>
      </c>
    </row>
    <row r="147" spans="1:37">
      <c r="A147" s="13" t="s">
        <v>1033</v>
      </c>
      <c r="B147" s="13" t="s">
        <v>1020</v>
      </c>
      <c r="C147" s="13">
        <v>1</v>
      </c>
      <c r="D147" s="13">
        <v>1</v>
      </c>
      <c r="E147" s="13" t="s">
        <v>1024</v>
      </c>
      <c r="F147" s="13" t="s">
        <v>43</v>
      </c>
      <c r="G147" s="13" t="s">
        <v>40</v>
      </c>
      <c r="H147" s="13">
        <v>90</v>
      </c>
      <c r="I147" s="13">
        <v>92</v>
      </c>
      <c r="J147" s="13">
        <v>75</v>
      </c>
      <c r="K147" s="13">
        <v>92</v>
      </c>
      <c r="L147" s="13">
        <v>85</v>
      </c>
      <c r="M147" s="13">
        <v>60</v>
      </c>
      <c r="N147" s="18">
        <v>45</v>
      </c>
      <c r="O147" s="18" t="s">
        <v>820</v>
      </c>
      <c r="P147" s="13" t="s">
        <v>370</v>
      </c>
      <c r="Q147" t="str">
        <f>IFERROR(VLOOKUP(P147,MoveData[],3,FALSE),"")</f>
        <v>Ice</v>
      </c>
      <c r="R147" t="str">
        <f>IFERROR(VLOOKUP(P147,MoveData[],4,FALSE),"")</f>
        <v>Special</v>
      </c>
      <c r="S147" s="14">
        <v>55</v>
      </c>
      <c r="T147" s="15">
        <v>95</v>
      </c>
      <c r="U147" s="13" t="s">
        <v>496</v>
      </c>
      <c r="V147" t="str">
        <f>IFERROR(VLOOKUP(U147,MoveData[],3,FALSE),"")</f>
        <v>Grass</v>
      </c>
      <c r="W147" t="str">
        <f>IFERROR(VLOOKUP(U147,MoveData[],4,FALSE),"")</f>
        <v>Physical</v>
      </c>
      <c r="X147" s="14">
        <v>55</v>
      </c>
      <c r="Y147" s="15">
        <v>95</v>
      </c>
      <c r="Z147" s="13" t="s">
        <v>1025</v>
      </c>
      <c r="AA147" t="str">
        <f>IFERROR(VLOOKUP(Z147,MoveData[],3,FALSE),"")</f>
        <v/>
      </c>
      <c r="AB147" t="str">
        <f>IFERROR(VLOOKUP(Z147,MoveData[],4,FALSE),"")</f>
        <v/>
      </c>
      <c r="AC147" s="14">
        <v>0</v>
      </c>
      <c r="AD147" s="15">
        <v>100</v>
      </c>
      <c r="AE147" s="13" t="s">
        <v>1026</v>
      </c>
      <c r="AF147" t="str">
        <f>IFERROR(VLOOKUP(AE147,MoveData[],3,FALSE),"")</f>
        <v>Ice</v>
      </c>
      <c r="AG147" t="str">
        <f>IFERROR(VLOOKUP(AE147,MoveData[],4,FALSE),"")</f>
        <v>Status</v>
      </c>
      <c r="AH147" s="14">
        <v>0</v>
      </c>
      <c r="AI147" s="15">
        <v>100</v>
      </c>
      <c r="AJ147" s="13" t="s">
        <v>1027</v>
      </c>
      <c r="AK147" s="13" t="s">
        <v>837</v>
      </c>
    </row>
    <row r="148" spans="1:37">
      <c r="A148" s="13" t="s">
        <v>1033</v>
      </c>
      <c r="B148" s="13" t="s">
        <v>1020</v>
      </c>
      <c r="C148" s="13">
        <v>1</v>
      </c>
      <c r="D148" s="13">
        <v>2</v>
      </c>
      <c r="E148" s="13" t="s">
        <v>1028</v>
      </c>
      <c r="F148" s="13" t="s">
        <v>47</v>
      </c>
      <c r="G148" s="13" t="s">
        <v>20</v>
      </c>
      <c r="H148" s="13">
        <v>55</v>
      </c>
      <c r="I148" s="13">
        <v>75</v>
      </c>
      <c r="J148" s="13">
        <v>90</v>
      </c>
      <c r="K148" s="13">
        <v>65</v>
      </c>
      <c r="L148" s="13">
        <v>70</v>
      </c>
      <c r="M148" s="13">
        <v>65</v>
      </c>
      <c r="N148" s="18">
        <v>45</v>
      </c>
      <c r="O148" s="18" t="s">
        <v>820</v>
      </c>
      <c r="P148" s="13" t="s">
        <v>241</v>
      </c>
      <c r="Q148" t="str">
        <f>IFERROR(VLOOKUP(P148,MoveData[],3,FALSE),"")</f>
        <v>Dragon</v>
      </c>
      <c r="R148" t="str">
        <f>IFERROR(VLOOKUP(P148,MoveData[],4,FALSE),"")</f>
        <v>Physical</v>
      </c>
      <c r="S148" s="14">
        <v>80</v>
      </c>
      <c r="T148" s="15">
        <v>100</v>
      </c>
      <c r="U148" s="13" t="s">
        <v>103</v>
      </c>
      <c r="V148" t="str">
        <f>IFERROR(VLOOKUP(U148,MoveData[],3,FALSE),"")</f>
        <v>Ghost</v>
      </c>
      <c r="W148" t="str">
        <f>IFERROR(VLOOKUP(U148,MoveData[],4,FALSE),"")</f>
        <v>Physical</v>
      </c>
      <c r="X148" s="14">
        <v>70</v>
      </c>
      <c r="Y148" s="15">
        <v>100</v>
      </c>
      <c r="Z148" s="13" t="s">
        <v>187</v>
      </c>
      <c r="AA148" t="str">
        <f>IFERROR(VLOOKUP(Z148,MoveData[],3,FALSE),"")</f>
        <v>Fighting</v>
      </c>
      <c r="AB148" t="str">
        <f>IFERROR(VLOOKUP(Z148,MoveData[],4,FALSE),"")</f>
        <v>Physical</v>
      </c>
      <c r="AC148" s="14">
        <v>75</v>
      </c>
      <c r="AD148" s="15">
        <v>100</v>
      </c>
      <c r="AE148" s="13" t="s">
        <v>1029</v>
      </c>
      <c r="AF148" t="str">
        <f>IFERROR(VLOOKUP(AE148,MoveData[],3,FALSE),"")</f>
        <v>Normal</v>
      </c>
      <c r="AG148" t="str">
        <f>IFERROR(VLOOKUP(AE148,MoveData[],4,FALSE),"")</f>
        <v>Status</v>
      </c>
      <c r="AH148" s="14">
        <v>0</v>
      </c>
      <c r="AI148" s="15">
        <v>100</v>
      </c>
      <c r="AJ148" s="13" t="s">
        <v>1030</v>
      </c>
      <c r="AK148" s="13" t="s">
        <v>837</v>
      </c>
    </row>
    <row r="149" spans="1:37">
      <c r="A149" s="13" t="s">
        <v>1034</v>
      </c>
      <c r="B149" s="13" t="s">
        <v>1035</v>
      </c>
      <c r="C149" s="13">
        <v>1</v>
      </c>
      <c r="D149" s="13">
        <v>1</v>
      </c>
      <c r="E149" s="13" t="s">
        <v>1036</v>
      </c>
      <c r="F149" s="13" t="s">
        <v>44</v>
      </c>
      <c r="G149" s="13"/>
      <c r="H149" s="13">
        <v>78</v>
      </c>
      <c r="I149" s="13">
        <v>52</v>
      </c>
      <c r="J149" s="13">
        <v>60</v>
      </c>
      <c r="K149" s="13">
        <v>63</v>
      </c>
      <c r="L149" s="13">
        <v>65</v>
      </c>
      <c r="M149" s="13">
        <v>23</v>
      </c>
      <c r="N149" s="18">
        <v>34</v>
      </c>
      <c r="O149" s="18" t="s">
        <v>820</v>
      </c>
      <c r="P149" s="13" t="s">
        <v>250</v>
      </c>
      <c r="Q149" t="str">
        <f>IFERROR(VLOOKUP(P149,MoveData[],3,FALSE),"")</f>
        <v>Fairy</v>
      </c>
      <c r="R149" t="str">
        <f>IFERROR(VLOOKUP(P149,MoveData[],4,FALSE),"")</f>
        <v>Special</v>
      </c>
      <c r="S149" s="14">
        <v>50</v>
      </c>
      <c r="T149" s="15">
        <v>100</v>
      </c>
      <c r="U149" s="13" t="s">
        <v>22</v>
      </c>
      <c r="V149" t="str">
        <f>IFERROR(VLOOKUP(U149,MoveData[],3,FALSE),"")</f>
        <v>Psychic</v>
      </c>
      <c r="W149" t="str">
        <f>IFERROR(VLOOKUP(U149,MoveData[],4,FALSE),"")</f>
        <v>Special</v>
      </c>
      <c r="X149" s="14">
        <v>90</v>
      </c>
      <c r="Y149" s="15">
        <v>100</v>
      </c>
      <c r="Z149" s="13" t="s">
        <v>260</v>
      </c>
      <c r="AA149" t="str">
        <f>IFERROR(VLOOKUP(Z149,MoveData[],3,FALSE),"")</f>
        <v>Normal</v>
      </c>
      <c r="AB149" t="str">
        <f>IFERROR(VLOOKUP(Z149,MoveData[],4,FALSE),"")</f>
        <v>Special</v>
      </c>
      <c r="AC149" s="14">
        <v>40</v>
      </c>
      <c r="AD149" s="15">
        <v>100</v>
      </c>
      <c r="AE149" s="13" t="s">
        <v>1037</v>
      </c>
      <c r="AF149" t="str">
        <f>IFERROR(VLOOKUP(AE149,MoveData[],3,FALSE),"")</f>
        <v>Fairy</v>
      </c>
      <c r="AG149" t="str">
        <f>IFERROR(VLOOKUP(AE149,MoveData[],4,FALSE),"")</f>
        <v>Status</v>
      </c>
      <c r="AH149" s="14">
        <v>0</v>
      </c>
      <c r="AI149" s="15">
        <v>75</v>
      </c>
      <c r="AJ149" s="13" t="s">
        <v>988</v>
      </c>
      <c r="AK149" s="13" t="s">
        <v>837</v>
      </c>
    </row>
    <row r="150" spans="1:37">
      <c r="A150" s="13" t="s">
        <v>1034</v>
      </c>
      <c r="B150" s="13" t="s">
        <v>1035</v>
      </c>
      <c r="C150" s="13">
        <v>1</v>
      </c>
      <c r="D150" s="13">
        <v>2</v>
      </c>
      <c r="E150" s="13" t="s">
        <v>1038</v>
      </c>
      <c r="F150" s="13" t="s">
        <v>44</v>
      </c>
      <c r="G150" s="13"/>
      <c r="H150" s="13">
        <v>82</v>
      </c>
      <c r="I150" s="13">
        <v>80</v>
      </c>
      <c r="J150" s="13">
        <v>86</v>
      </c>
      <c r="K150" s="13">
        <v>85</v>
      </c>
      <c r="L150" s="13">
        <v>75</v>
      </c>
      <c r="M150" s="13">
        <v>72</v>
      </c>
      <c r="N150" s="18">
        <v>34</v>
      </c>
      <c r="O150" s="18" t="s">
        <v>820</v>
      </c>
      <c r="P150" s="13" t="s">
        <v>250</v>
      </c>
      <c r="Q150" t="str">
        <f>IFERROR(VLOOKUP(P150,MoveData[],3,FALSE),"")</f>
        <v>Fairy</v>
      </c>
      <c r="R150" t="str">
        <f>IFERROR(VLOOKUP(P150,MoveData[],4,FALSE),"")</f>
        <v>Special</v>
      </c>
      <c r="S150" s="14">
        <v>50</v>
      </c>
      <c r="T150" s="15">
        <v>100</v>
      </c>
      <c r="U150" s="13" t="s">
        <v>267</v>
      </c>
      <c r="V150" t="str">
        <f>IFERROR(VLOOKUP(U150,MoveData[],3,FALSE),"")</f>
        <v>Grass</v>
      </c>
      <c r="W150" t="str">
        <f>IFERROR(VLOOKUP(U150,MoveData[],4,FALSE),"")</f>
        <v>Special</v>
      </c>
      <c r="X150" s="14">
        <v>90</v>
      </c>
      <c r="Y150" s="15">
        <v>100</v>
      </c>
      <c r="Z150" s="13" t="s">
        <v>1039</v>
      </c>
      <c r="AA150" t="str">
        <f>IFERROR(VLOOKUP(Z150,MoveData[],3,FALSE),"")</f>
        <v>Grass</v>
      </c>
      <c r="AB150" t="str">
        <f>IFERROR(VLOOKUP(Z150,MoveData[],4,FALSE),"")</f>
        <v>Status</v>
      </c>
      <c r="AC150" s="14">
        <v>0</v>
      </c>
      <c r="AD150" s="15">
        <v>100</v>
      </c>
      <c r="AE150" s="13" t="s">
        <v>995</v>
      </c>
      <c r="AF150" t="str">
        <f>IFERROR(VLOOKUP(AE150,MoveData[],3,FALSE),"")</f>
        <v>Dark</v>
      </c>
      <c r="AG150" t="str">
        <f>IFERROR(VLOOKUP(AE150,MoveData[],4,FALSE),"")</f>
        <v>Status</v>
      </c>
      <c r="AH150" s="14">
        <v>0</v>
      </c>
      <c r="AI150" s="15">
        <v>100</v>
      </c>
      <c r="AJ150" s="13" t="s">
        <v>863</v>
      </c>
      <c r="AK150" s="13" t="s">
        <v>837</v>
      </c>
    </row>
    <row r="151" spans="1:37">
      <c r="A151" s="13" t="s">
        <v>1040</v>
      </c>
      <c r="B151" s="13" t="s">
        <v>1035</v>
      </c>
      <c r="C151" s="13">
        <v>1</v>
      </c>
      <c r="D151" s="13">
        <v>1</v>
      </c>
      <c r="E151" s="13" t="s">
        <v>1041</v>
      </c>
      <c r="F151" s="13" t="s">
        <v>44</v>
      </c>
      <c r="G151" s="13"/>
      <c r="H151" s="13">
        <v>62</v>
      </c>
      <c r="I151" s="13">
        <v>48</v>
      </c>
      <c r="J151" s="13">
        <v>66</v>
      </c>
      <c r="K151" s="13">
        <v>59</v>
      </c>
      <c r="L151" s="13">
        <v>57</v>
      </c>
      <c r="M151" s="13">
        <v>49</v>
      </c>
      <c r="N151" s="18">
        <v>34</v>
      </c>
      <c r="O151" s="18" t="s">
        <v>820</v>
      </c>
      <c r="P151" s="13" t="s">
        <v>250</v>
      </c>
      <c r="Q151" t="str">
        <f>IFERROR(VLOOKUP(P151,MoveData[],3,FALSE),"")</f>
        <v>Fairy</v>
      </c>
      <c r="R151" t="str">
        <f>IFERROR(VLOOKUP(P151,MoveData[],4,FALSE),"")</f>
        <v>Special</v>
      </c>
      <c r="S151" s="14">
        <v>50</v>
      </c>
      <c r="T151" s="15">
        <v>100</v>
      </c>
      <c r="U151" s="13" t="s">
        <v>267</v>
      </c>
      <c r="V151" t="str">
        <f>IFERROR(VLOOKUP(U151,MoveData[],3,FALSE),"")</f>
        <v>Grass</v>
      </c>
      <c r="W151" t="str">
        <f>IFERROR(VLOOKUP(U151,MoveData[],4,FALSE),"")</f>
        <v>Special</v>
      </c>
      <c r="X151" s="14">
        <v>90</v>
      </c>
      <c r="Y151" s="15">
        <v>100</v>
      </c>
      <c r="Z151" s="13" t="s">
        <v>1039</v>
      </c>
      <c r="AA151" t="str">
        <f>IFERROR(VLOOKUP(Z151,MoveData[],3,FALSE),"")</f>
        <v>Grass</v>
      </c>
      <c r="AB151" t="str">
        <f>IFERROR(VLOOKUP(Z151,MoveData[],4,FALSE),"")</f>
        <v>Status</v>
      </c>
      <c r="AC151" s="14">
        <v>0</v>
      </c>
      <c r="AD151" s="15">
        <v>100</v>
      </c>
      <c r="AE151" s="13" t="s">
        <v>995</v>
      </c>
      <c r="AF151" t="str">
        <f>IFERROR(VLOOKUP(AE151,MoveData[],3,FALSE),"")</f>
        <v>Dark</v>
      </c>
      <c r="AG151" t="str">
        <f>IFERROR(VLOOKUP(AE151,MoveData[],4,FALSE),"")</f>
        <v>Status</v>
      </c>
      <c r="AH151" s="14">
        <v>0</v>
      </c>
      <c r="AI151" s="15">
        <v>100</v>
      </c>
      <c r="AJ151" s="13" t="s">
        <v>863</v>
      </c>
      <c r="AK151" s="13" t="s">
        <v>837</v>
      </c>
    </row>
    <row r="152" spans="1:37">
      <c r="A152" s="13" t="s">
        <v>1040</v>
      </c>
      <c r="B152" s="13" t="s">
        <v>1035</v>
      </c>
      <c r="C152" s="13">
        <v>1</v>
      </c>
      <c r="D152" s="13">
        <v>2</v>
      </c>
      <c r="E152" s="13" t="s">
        <v>1042</v>
      </c>
      <c r="F152" s="13" t="s">
        <v>44</v>
      </c>
      <c r="G152" s="13"/>
      <c r="H152" s="13">
        <v>101</v>
      </c>
      <c r="I152" s="13">
        <v>72</v>
      </c>
      <c r="J152" s="13">
        <v>72</v>
      </c>
      <c r="K152" s="13">
        <v>99</v>
      </c>
      <c r="L152" s="13">
        <v>89</v>
      </c>
      <c r="M152" s="13">
        <v>29</v>
      </c>
      <c r="N152" s="18">
        <v>34</v>
      </c>
      <c r="O152" s="18" t="s">
        <v>820</v>
      </c>
      <c r="P152" s="13" t="s">
        <v>250</v>
      </c>
      <c r="Q152" t="str">
        <f>IFERROR(VLOOKUP(P152,MoveData[],3,FALSE),"")</f>
        <v>Fairy</v>
      </c>
      <c r="R152" t="str">
        <f>IFERROR(VLOOKUP(P152,MoveData[],4,FALSE),"")</f>
        <v>Special</v>
      </c>
      <c r="S152" s="14">
        <v>50</v>
      </c>
      <c r="T152" s="15">
        <v>100</v>
      </c>
      <c r="U152" s="13" t="s">
        <v>22</v>
      </c>
      <c r="V152" t="str">
        <f>IFERROR(VLOOKUP(U152,MoveData[],3,FALSE),"")</f>
        <v>Psychic</v>
      </c>
      <c r="W152" t="str">
        <f>IFERROR(VLOOKUP(U152,MoveData[],4,FALSE),"")</f>
        <v>Special</v>
      </c>
      <c r="X152" s="14">
        <v>90</v>
      </c>
      <c r="Y152" s="15">
        <v>100</v>
      </c>
      <c r="Z152" s="13" t="s">
        <v>260</v>
      </c>
      <c r="AA152" t="str">
        <f>IFERROR(VLOOKUP(Z152,MoveData[],3,FALSE),"")</f>
        <v>Normal</v>
      </c>
      <c r="AB152" t="str">
        <f>IFERROR(VLOOKUP(Z152,MoveData[],4,FALSE),"")</f>
        <v>Special</v>
      </c>
      <c r="AC152" s="14">
        <v>40</v>
      </c>
      <c r="AD152" s="15">
        <v>100</v>
      </c>
      <c r="AE152" s="13" t="s">
        <v>1037</v>
      </c>
      <c r="AF152" t="str">
        <f>IFERROR(VLOOKUP(AE152,MoveData[],3,FALSE),"")</f>
        <v>Fairy</v>
      </c>
      <c r="AG152" t="str">
        <f>IFERROR(VLOOKUP(AE152,MoveData[],4,FALSE),"")</f>
        <v>Status</v>
      </c>
      <c r="AH152" s="14">
        <v>0</v>
      </c>
      <c r="AI152" s="15">
        <v>75</v>
      </c>
      <c r="AJ152" s="13" t="s">
        <v>988</v>
      </c>
      <c r="AK152" s="13" t="s">
        <v>837</v>
      </c>
    </row>
    <row r="153" spans="1:37">
      <c r="A153" s="13" t="s">
        <v>1043</v>
      </c>
      <c r="B153" s="13" t="s">
        <v>1035</v>
      </c>
      <c r="C153" s="13">
        <v>1</v>
      </c>
      <c r="D153" s="13">
        <v>1</v>
      </c>
      <c r="E153" s="13" t="s">
        <v>1044</v>
      </c>
      <c r="F153" s="13" t="s">
        <v>38</v>
      </c>
      <c r="G153" s="13" t="s">
        <v>44</v>
      </c>
      <c r="H153" s="13">
        <v>65</v>
      </c>
      <c r="I153" s="13">
        <v>60</v>
      </c>
      <c r="J153" s="13">
        <v>45</v>
      </c>
      <c r="K153" s="13">
        <v>75</v>
      </c>
      <c r="L153" s="13">
        <v>55</v>
      </c>
      <c r="M153" s="13">
        <v>70</v>
      </c>
      <c r="N153" s="18">
        <v>35</v>
      </c>
      <c r="O153" s="18" t="s">
        <v>820</v>
      </c>
      <c r="P153" s="13" t="s">
        <v>277</v>
      </c>
      <c r="Q153" t="str">
        <f>IFERROR(VLOOKUP(P153,MoveData[],3,FALSE),"")</f>
        <v>Normal</v>
      </c>
      <c r="R153" t="str">
        <f>IFERROR(VLOOKUP(P153,MoveData[],4,FALSE),"")</f>
        <v>Physical</v>
      </c>
      <c r="S153" s="14">
        <v>40</v>
      </c>
      <c r="T153" s="15">
        <v>100</v>
      </c>
      <c r="U153" s="13" t="s">
        <v>278</v>
      </c>
      <c r="V153" t="str">
        <f>IFERROR(VLOOKUP(U153,MoveData[],3,FALSE),"")</f>
        <v>Dark</v>
      </c>
      <c r="W153" t="str">
        <f>IFERROR(VLOOKUP(U153,MoveData[],4,FALSE),"")</f>
        <v>Physical</v>
      </c>
      <c r="X153" s="14">
        <v>80</v>
      </c>
      <c r="Y153" s="15">
        <v>100</v>
      </c>
      <c r="Z153" s="13" t="s">
        <v>1045</v>
      </c>
      <c r="AA153" t="str">
        <f>IFERROR(VLOOKUP(Z153,MoveData[],3,FALSE),"")</f>
        <v>Dark</v>
      </c>
      <c r="AB153" t="str">
        <f>IFERROR(VLOOKUP(Z153,MoveData[],4,FALSE),"")</f>
        <v>Status</v>
      </c>
      <c r="AC153" s="14">
        <v>0</v>
      </c>
      <c r="AD153" s="15">
        <v>100</v>
      </c>
      <c r="AE153" s="13" t="s">
        <v>250</v>
      </c>
      <c r="AF153" t="str">
        <f>IFERROR(VLOOKUP(AE153,MoveData[],3,FALSE),"")</f>
        <v>Fairy</v>
      </c>
      <c r="AG153" t="str">
        <f>IFERROR(VLOOKUP(AE153,MoveData[],4,FALSE),"")</f>
        <v>Special</v>
      </c>
      <c r="AH153" s="14">
        <v>50</v>
      </c>
      <c r="AI153" s="15">
        <v>100</v>
      </c>
      <c r="AJ153" s="13" t="s">
        <v>884</v>
      </c>
      <c r="AK153" s="13" t="s">
        <v>820</v>
      </c>
    </row>
    <row r="154" spans="1:37">
      <c r="A154" s="13" t="s">
        <v>1043</v>
      </c>
      <c r="B154" s="13" t="s">
        <v>1035</v>
      </c>
      <c r="C154" s="13">
        <v>1</v>
      </c>
      <c r="D154" s="13">
        <v>2</v>
      </c>
      <c r="E154" s="13" t="s">
        <v>997</v>
      </c>
      <c r="F154" s="13" t="s">
        <v>22</v>
      </c>
      <c r="G154" s="13" t="s">
        <v>44</v>
      </c>
      <c r="H154" s="13">
        <v>68</v>
      </c>
      <c r="I154" s="13">
        <v>65</v>
      </c>
      <c r="J154" s="13">
        <v>65</v>
      </c>
      <c r="K154" s="13">
        <v>125</v>
      </c>
      <c r="L154" s="13">
        <v>115</v>
      </c>
      <c r="M154" s="13">
        <v>80</v>
      </c>
      <c r="N154" s="18">
        <v>35</v>
      </c>
      <c r="O154" s="18" t="s">
        <v>820</v>
      </c>
      <c r="P154" s="13" t="s">
        <v>225</v>
      </c>
      <c r="Q154" t="str">
        <f>IFERROR(VLOOKUP(P154,MoveData[],3,FALSE),"")</f>
        <v>Fairy</v>
      </c>
      <c r="R154" t="str">
        <f>IFERROR(VLOOKUP(P154,MoveData[],4,FALSE),"")</f>
        <v>Special</v>
      </c>
      <c r="S154" s="14">
        <v>80</v>
      </c>
      <c r="T154" s="15">
        <v>100</v>
      </c>
      <c r="U154" s="13" t="s">
        <v>437</v>
      </c>
      <c r="V154" t="str">
        <f>IFERROR(VLOOKUP(U154,MoveData[],3,FALSE),"")</f>
        <v>Fire</v>
      </c>
      <c r="W154" t="str">
        <f>IFERROR(VLOOKUP(U154,MoveData[],4,FALSE),"")</f>
        <v>Special</v>
      </c>
      <c r="X154" s="14">
        <v>75</v>
      </c>
      <c r="Y154" s="15">
        <v>100</v>
      </c>
      <c r="Z154" s="13" t="s">
        <v>1046</v>
      </c>
      <c r="AA154" t="str">
        <f>IFERROR(VLOOKUP(Z154,MoveData[],3,FALSE),"")</f>
        <v>Fairy</v>
      </c>
      <c r="AB154" t="str">
        <f>IFERROR(VLOOKUP(Z154,MoveData[],4,FALSE),"")</f>
        <v>Status</v>
      </c>
      <c r="AC154" s="14">
        <v>0</v>
      </c>
      <c r="AD154" s="15">
        <v>100</v>
      </c>
      <c r="AE154" s="13" t="s">
        <v>993</v>
      </c>
      <c r="AF154" t="str">
        <f>IFERROR(VLOOKUP(AE154,MoveData[],3,FALSE),"")</f>
        <v>Psychic</v>
      </c>
      <c r="AG154" t="str">
        <f>IFERROR(VLOOKUP(AE154,MoveData[],4,FALSE),"")</f>
        <v>Status</v>
      </c>
      <c r="AH154" s="14">
        <v>0</v>
      </c>
      <c r="AI154" s="15">
        <v>100</v>
      </c>
      <c r="AJ154" s="13" t="s">
        <v>1000</v>
      </c>
      <c r="AK154" s="13" t="s">
        <v>820</v>
      </c>
    </row>
    <row r="155" spans="1:37">
      <c r="A155" s="13" t="s">
        <v>1050</v>
      </c>
      <c r="B155" s="13" t="s">
        <v>789</v>
      </c>
      <c r="C155" s="13">
        <v>1</v>
      </c>
      <c r="D155" s="13">
        <v>1</v>
      </c>
      <c r="E155" s="13" t="s">
        <v>1050</v>
      </c>
      <c r="F155" s="13" t="s">
        <v>53</v>
      </c>
      <c r="G155" s="13" t="s">
        <v>47</v>
      </c>
      <c r="H155" s="13">
        <v>140</v>
      </c>
      <c r="I155" s="13">
        <v>85</v>
      </c>
      <c r="J155" s="13">
        <v>95</v>
      </c>
      <c r="K155" s="13">
        <v>145</v>
      </c>
      <c r="L155" s="13">
        <v>95</v>
      </c>
      <c r="M155" s="13">
        <v>130</v>
      </c>
      <c r="N155" s="18">
        <v>60</v>
      </c>
      <c r="O155" s="18" t="s">
        <v>820</v>
      </c>
      <c r="P155" s="13" t="s">
        <v>270</v>
      </c>
      <c r="Q155" t="str">
        <f>IFERROR(VLOOKUP(P155,MoveData[],3,FALSE),"")</f>
        <v>Dragon</v>
      </c>
      <c r="R155" t="str">
        <f>IFERROR(VLOOKUP(P155,MoveData[],4,FALSE),"")</f>
        <v>Special</v>
      </c>
      <c r="S155" s="14">
        <v>160</v>
      </c>
      <c r="T155" s="15">
        <v>90</v>
      </c>
      <c r="U155" s="13" t="s">
        <v>554</v>
      </c>
      <c r="V155" t="str">
        <f>IFERROR(VLOOKUP(U155,MoveData[],3,FALSE),"")</f>
        <v>Poison</v>
      </c>
      <c r="W155" t="str">
        <f>IFERROR(VLOOKUP(U155,MoveData[],4,FALSE),"")</f>
        <v>Special</v>
      </c>
      <c r="X155" s="14">
        <v>90</v>
      </c>
      <c r="Y155" s="15">
        <v>100</v>
      </c>
      <c r="Z155" s="13" t="s">
        <v>1051</v>
      </c>
      <c r="AA155" t="str">
        <f>IFERROR(VLOOKUP(Z155,MoveData[],3,FALSE),"")</f>
        <v>Psychic</v>
      </c>
      <c r="AB155" t="str">
        <f>IFERROR(VLOOKUP(Z155,MoveData[],4,FALSE),"")</f>
        <v>Status</v>
      </c>
      <c r="AC155" s="14">
        <v>0</v>
      </c>
      <c r="AD155" s="15">
        <v>100</v>
      </c>
      <c r="AE155" s="13" t="s">
        <v>297</v>
      </c>
      <c r="AF155" t="str">
        <f>IFERROR(VLOOKUP(AE155,MoveData[],3,FALSE),"")</f>
        <v>Fire</v>
      </c>
      <c r="AG155" t="str">
        <f>IFERROR(VLOOKUP(AE155,MoveData[],4,FALSE),"")</f>
        <v>Special</v>
      </c>
      <c r="AH155" s="14">
        <v>90</v>
      </c>
      <c r="AI155" s="15">
        <v>100</v>
      </c>
      <c r="AJ155" s="13" t="s">
        <v>887</v>
      </c>
      <c r="AK155" s="13" t="s">
        <v>837</v>
      </c>
    </row>
    <row r="156" spans="1:37">
      <c r="A156" s="13" t="s">
        <v>1052</v>
      </c>
      <c r="B156" s="13" t="s">
        <v>970</v>
      </c>
      <c r="C156" s="13">
        <v>1</v>
      </c>
      <c r="D156" s="13">
        <v>1</v>
      </c>
      <c r="E156" s="13" t="s">
        <v>1052</v>
      </c>
      <c r="F156" s="13" t="s">
        <v>44</v>
      </c>
      <c r="G156" s="13" t="s">
        <v>24</v>
      </c>
      <c r="H156" s="13">
        <v>92</v>
      </c>
      <c r="I156" s="13">
        <v>170</v>
      </c>
      <c r="J156" s="13">
        <v>115</v>
      </c>
      <c r="K156" s="13">
        <v>80</v>
      </c>
      <c r="L156" s="13">
        <v>115</v>
      </c>
      <c r="M156" s="13">
        <v>148</v>
      </c>
      <c r="N156" s="18">
        <v>70</v>
      </c>
      <c r="O156" s="18" t="s">
        <v>820</v>
      </c>
      <c r="P156" s="13" t="s">
        <v>164</v>
      </c>
      <c r="Q156" t="str">
        <f>IFERROR(VLOOKUP(P156,MoveData[],3,FALSE),"")</f>
        <v>Steel</v>
      </c>
      <c r="R156" t="str">
        <f>IFERROR(VLOOKUP(P156,MoveData[],4,FALSE),"")</f>
        <v>Physical</v>
      </c>
      <c r="S156" s="14">
        <v>100</v>
      </c>
      <c r="T156" s="15">
        <v>100</v>
      </c>
      <c r="U156" s="13" t="s">
        <v>464</v>
      </c>
      <c r="V156" t="str">
        <f>IFERROR(VLOOKUP(U156,MoveData[],3,FALSE),"")</f>
        <v>Fairy</v>
      </c>
      <c r="W156" t="str">
        <f>IFERROR(VLOOKUP(U156,MoveData[],4,FALSE),"")</f>
        <v>Physical</v>
      </c>
      <c r="X156" s="14">
        <v>90</v>
      </c>
      <c r="Y156" s="15">
        <v>90</v>
      </c>
      <c r="Z156" s="13" t="s">
        <v>517</v>
      </c>
      <c r="AA156" t="str">
        <f>IFERROR(VLOOKUP(Z156,MoveData[],3,FALSE),"")</f>
        <v>Fighting</v>
      </c>
      <c r="AB156" t="str">
        <f>IFERROR(VLOOKUP(Z156,MoveData[],4,FALSE),"")</f>
        <v>Physical</v>
      </c>
      <c r="AC156" s="14">
        <v>90</v>
      </c>
      <c r="AD156" s="15">
        <v>100</v>
      </c>
      <c r="AE156" s="13" t="s">
        <v>26</v>
      </c>
      <c r="AF156" t="str">
        <f>IFERROR(VLOOKUP(AE156,MoveData[],3,FALSE),"")</f>
        <v>Normal</v>
      </c>
      <c r="AG156" t="str">
        <f>IFERROR(VLOOKUP(AE156,MoveData[],4,FALSE),"")</f>
        <v>Status</v>
      </c>
      <c r="AH156" s="14">
        <v>0</v>
      </c>
      <c r="AI156" s="15">
        <v>100</v>
      </c>
      <c r="AJ156" s="13" t="s">
        <v>1053</v>
      </c>
      <c r="AK156" s="13" t="s">
        <v>839</v>
      </c>
    </row>
    <row r="157" spans="1:37">
      <c r="A157" s="13" t="s">
        <v>724</v>
      </c>
      <c r="B157" s="13" t="s">
        <v>970</v>
      </c>
      <c r="C157" s="13">
        <v>1</v>
      </c>
      <c r="D157" s="13">
        <v>1</v>
      </c>
      <c r="E157" s="13" t="s">
        <v>724</v>
      </c>
      <c r="F157" s="13" t="s">
        <v>20</v>
      </c>
      <c r="G157" s="13"/>
      <c r="H157" s="13">
        <v>92</v>
      </c>
      <c r="I157" s="13">
        <v>130</v>
      </c>
      <c r="J157" s="13">
        <v>115</v>
      </c>
      <c r="K157" s="13">
        <v>80</v>
      </c>
      <c r="L157" s="13">
        <v>115</v>
      </c>
      <c r="M157" s="13">
        <v>138</v>
      </c>
      <c r="N157" s="18">
        <v>70</v>
      </c>
      <c r="O157" s="18" t="s">
        <v>820</v>
      </c>
      <c r="P157" s="13" t="s">
        <v>464</v>
      </c>
      <c r="Q157" t="str">
        <f>IFERROR(VLOOKUP(P157,MoveData[],3,FALSE),"")</f>
        <v>Fairy</v>
      </c>
      <c r="R157" t="str">
        <f>IFERROR(VLOOKUP(P157,MoveData[],4,FALSE),"")</f>
        <v>Physical</v>
      </c>
      <c r="S157" s="14">
        <v>90</v>
      </c>
      <c r="T157" s="15">
        <v>90</v>
      </c>
      <c r="U157" s="13" t="s">
        <v>375</v>
      </c>
      <c r="V157" t="str">
        <f>IFERROR(VLOOKUP(U157,MoveData[],3,FALSE),"")</f>
        <v>Steel</v>
      </c>
      <c r="W157" t="str">
        <f>IFERROR(VLOOKUP(U157,MoveData[],4,FALSE),"")</f>
        <v>Physical</v>
      </c>
      <c r="X157" s="14">
        <v>80</v>
      </c>
      <c r="Y157" s="15">
        <v>100</v>
      </c>
      <c r="Z157" s="13" t="s">
        <v>37</v>
      </c>
      <c r="AA157" t="str">
        <f>IFERROR(VLOOKUP(Z157,MoveData[],3,FALSE),"")</f>
        <v>Dark</v>
      </c>
      <c r="AB157" t="str">
        <f>IFERROR(VLOOKUP(Z157,MoveData[],4,FALSE),"")</f>
        <v>Physical</v>
      </c>
      <c r="AC157" s="14">
        <v>80</v>
      </c>
      <c r="AD157" s="15">
        <v>100</v>
      </c>
      <c r="AE157" s="13" t="s">
        <v>748</v>
      </c>
      <c r="AF157" t="str">
        <f>IFERROR(VLOOKUP(AE157,MoveData[],3,FALSE),"")</f>
        <v>Steel</v>
      </c>
      <c r="AG157" t="str">
        <f>IFERROR(VLOOKUP(AE157,MoveData[],4,FALSE),"")</f>
        <v>Status</v>
      </c>
      <c r="AH157" s="14">
        <v>0</v>
      </c>
      <c r="AI157" s="15">
        <v>100</v>
      </c>
      <c r="AJ157" s="13" t="s">
        <v>892</v>
      </c>
      <c r="AK157" s="13" t="s">
        <v>839</v>
      </c>
    </row>
    <row r="158" spans="1:37">
      <c r="A158" s="13" t="s">
        <v>981</v>
      </c>
      <c r="B158" s="13" t="s">
        <v>1056</v>
      </c>
      <c r="C158" s="13">
        <v>5</v>
      </c>
      <c r="D158" s="13"/>
      <c r="E158" s="13" t="s">
        <v>746</v>
      </c>
      <c r="F158" s="13" t="s">
        <v>24</v>
      </c>
      <c r="G158" s="13" t="s">
        <v>44</v>
      </c>
      <c r="H158" s="13">
        <v>50</v>
      </c>
      <c r="I158" s="13">
        <v>85</v>
      </c>
      <c r="J158" s="13">
        <v>85</v>
      </c>
      <c r="K158" s="13">
        <v>55</v>
      </c>
      <c r="L158" s="13">
        <v>55</v>
      </c>
      <c r="M158" s="13">
        <v>50</v>
      </c>
      <c r="N158" s="18">
        <v>61</v>
      </c>
      <c r="O158" s="18" t="s">
        <v>820</v>
      </c>
      <c r="P158" s="13" t="s">
        <v>464</v>
      </c>
      <c r="Q158" t="str">
        <f>IFERROR(VLOOKUP(P158,MoveData[],3,FALSE),"")</f>
        <v>Fairy</v>
      </c>
      <c r="R158" t="str">
        <f>IFERROR(VLOOKUP(P158,MoveData[],4,FALSE),"")</f>
        <v>Physical</v>
      </c>
      <c r="S158" s="14">
        <v>90</v>
      </c>
      <c r="T158" s="15">
        <v>90</v>
      </c>
      <c r="U158" s="13" t="s">
        <v>375</v>
      </c>
      <c r="V158" t="str">
        <f>IFERROR(VLOOKUP(U158,MoveData[],3,FALSE),"")</f>
        <v>Steel</v>
      </c>
      <c r="W158" t="str">
        <f>IFERROR(VLOOKUP(U158,MoveData[],4,FALSE),"")</f>
        <v>Physical</v>
      </c>
      <c r="X158" s="14">
        <v>80</v>
      </c>
      <c r="Y158" s="15">
        <v>100</v>
      </c>
      <c r="Z158" s="13" t="s">
        <v>37</v>
      </c>
      <c r="AA158" t="str">
        <f>IFERROR(VLOOKUP(Z158,MoveData[],3,FALSE),"")</f>
        <v>Dark</v>
      </c>
      <c r="AB158" t="str">
        <f>IFERROR(VLOOKUP(Z158,MoveData[],4,FALSE),"")</f>
        <v>Physical</v>
      </c>
      <c r="AC158" s="14">
        <v>80</v>
      </c>
      <c r="AD158" s="15">
        <v>100</v>
      </c>
      <c r="AE158" s="13" t="s">
        <v>995</v>
      </c>
      <c r="AF158" t="str">
        <f>IFERROR(VLOOKUP(AE158,MoveData[],3,FALSE),"")</f>
        <v>Dark</v>
      </c>
      <c r="AG158" t="str">
        <f>IFERROR(VLOOKUP(AE158,MoveData[],4,FALSE),"")</f>
        <v>Status</v>
      </c>
      <c r="AH158" s="14">
        <v>0</v>
      </c>
      <c r="AI158" s="15">
        <v>100</v>
      </c>
      <c r="AJ158" s="13" t="s">
        <v>830</v>
      </c>
      <c r="AK158" s="13" t="s">
        <v>837</v>
      </c>
    </row>
    <row r="159" spans="1:37">
      <c r="A159" s="13" t="s">
        <v>981</v>
      </c>
      <c r="B159" s="13" t="s">
        <v>1056</v>
      </c>
      <c r="C159" s="13">
        <v>5</v>
      </c>
      <c r="D159" s="13"/>
      <c r="E159" s="13" t="s">
        <v>997</v>
      </c>
      <c r="F159" s="13" t="s">
        <v>22</v>
      </c>
      <c r="G159" s="13" t="s">
        <v>44</v>
      </c>
      <c r="H159" s="13">
        <v>68</v>
      </c>
      <c r="I159" s="13">
        <v>65</v>
      </c>
      <c r="J159" s="13">
        <v>65</v>
      </c>
      <c r="K159" s="13">
        <v>125</v>
      </c>
      <c r="L159" s="13">
        <v>115</v>
      </c>
      <c r="M159" s="13">
        <v>80</v>
      </c>
      <c r="N159" s="18">
        <v>61</v>
      </c>
      <c r="O159" s="18" t="s">
        <v>820</v>
      </c>
      <c r="P159" s="13" t="s">
        <v>225</v>
      </c>
      <c r="Q159" t="str">
        <f>IFERROR(VLOOKUP(P159,MoveData[],3,FALSE),"")</f>
        <v>Fairy</v>
      </c>
      <c r="R159" t="str">
        <f>IFERROR(VLOOKUP(P159,MoveData[],4,FALSE),"")</f>
        <v>Special</v>
      </c>
      <c r="S159" s="14">
        <v>80</v>
      </c>
      <c r="T159" s="15">
        <v>100</v>
      </c>
      <c r="U159" s="13" t="s">
        <v>22</v>
      </c>
      <c r="V159" t="str">
        <f>IFERROR(VLOOKUP(U159,MoveData[],3,FALSE),"")</f>
        <v>Psychic</v>
      </c>
      <c r="W159" t="str">
        <f>IFERROR(VLOOKUP(U159,MoveData[],4,FALSE),"")</f>
        <v>Special</v>
      </c>
      <c r="X159" s="14">
        <v>90</v>
      </c>
      <c r="Y159" s="15">
        <v>100</v>
      </c>
      <c r="Z159" s="13" t="s">
        <v>321</v>
      </c>
      <c r="AA159" t="str">
        <f>IFERROR(VLOOKUP(Z159,MoveData[],3,FALSE),"")</f>
        <v>Psychic</v>
      </c>
      <c r="AB159" t="str">
        <f>IFERROR(VLOOKUP(Z159,MoveData[],4,FALSE),"")</f>
        <v>Special</v>
      </c>
      <c r="AC159" s="14">
        <v>120</v>
      </c>
      <c r="AD159" s="15">
        <v>100</v>
      </c>
      <c r="AE159" s="13" t="s">
        <v>45</v>
      </c>
      <c r="AF159" t="str">
        <f>IFERROR(VLOOKUP(AE159,MoveData[],3,FALSE),"")</f>
        <v>Grass</v>
      </c>
      <c r="AG159" t="str">
        <f>IFERROR(VLOOKUP(AE159,MoveData[],4,FALSE),"")</f>
        <v>Special</v>
      </c>
      <c r="AH159" s="14">
        <v>60</v>
      </c>
      <c r="AI159" s="15">
        <v>100</v>
      </c>
      <c r="AJ159" s="13" t="s">
        <v>1000</v>
      </c>
      <c r="AK159" s="13" t="s">
        <v>837</v>
      </c>
    </row>
    <row r="160" spans="1:37">
      <c r="A160" s="13" t="s">
        <v>981</v>
      </c>
      <c r="B160" s="13" t="s">
        <v>1056</v>
      </c>
      <c r="C160" s="13">
        <v>5</v>
      </c>
      <c r="D160" s="13"/>
      <c r="E160" s="13" t="s">
        <v>1001</v>
      </c>
      <c r="F160" s="13" t="s">
        <v>22</v>
      </c>
      <c r="G160" s="13" t="s">
        <v>44</v>
      </c>
      <c r="H160" s="13">
        <v>65</v>
      </c>
      <c r="I160" s="13">
        <v>100</v>
      </c>
      <c r="J160" s="13">
        <v>70</v>
      </c>
      <c r="K160" s="13">
        <v>80</v>
      </c>
      <c r="L160" s="13">
        <v>80</v>
      </c>
      <c r="M160" s="13">
        <v>105</v>
      </c>
      <c r="N160" s="18">
        <v>62</v>
      </c>
      <c r="O160" s="18" t="s">
        <v>820</v>
      </c>
      <c r="P160" s="13" t="s">
        <v>112</v>
      </c>
      <c r="Q160" t="str">
        <f>IFERROR(VLOOKUP(P160,MoveData[],3,FALSE),"")</f>
        <v>Steel</v>
      </c>
      <c r="R160" t="str">
        <f>IFERROR(VLOOKUP(P160,MoveData[],4,FALSE),"")</f>
        <v>Physical</v>
      </c>
      <c r="S160" s="14">
        <v>70</v>
      </c>
      <c r="T160" s="15">
        <v>100</v>
      </c>
      <c r="U160" s="13" t="s">
        <v>484</v>
      </c>
      <c r="V160" t="str">
        <f>IFERROR(VLOOKUP(U160,MoveData[],3,FALSE),"")</f>
        <v>Psychic</v>
      </c>
      <c r="W160" t="str">
        <f>IFERROR(VLOOKUP(U160,MoveData[],4,FALSE),"")</f>
        <v>Physical</v>
      </c>
      <c r="X160" s="14">
        <v>70</v>
      </c>
      <c r="Y160" s="15">
        <v>100</v>
      </c>
      <c r="Z160" s="13" t="s">
        <v>225</v>
      </c>
      <c r="AA160" t="str">
        <f>IFERROR(VLOOKUP(Z160,MoveData[],3,FALSE),"")</f>
        <v>Fairy</v>
      </c>
      <c r="AB160" t="str">
        <f>IFERROR(VLOOKUP(Z160,MoveData[],4,FALSE),"")</f>
        <v>Special</v>
      </c>
      <c r="AC160" s="14">
        <v>80</v>
      </c>
      <c r="AD160" s="15">
        <v>100</v>
      </c>
      <c r="AE160" s="13" t="s">
        <v>584</v>
      </c>
      <c r="AF160" t="str">
        <f>IFERROR(VLOOKUP(AE160,MoveData[],3,FALSE),"")</f>
        <v>Normal</v>
      </c>
      <c r="AG160" t="str">
        <f>IFERROR(VLOOKUP(AE160,MoveData[],4,FALSE),"")</f>
        <v>Physical</v>
      </c>
      <c r="AH160" s="14">
        <v>65</v>
      </c>
      <c r="AI160" s="15">
        <v>100</v>
      </c>
      <c r="AJ160" s="13" t="s">
        <v>991</v>
      </c>
      <c r="AK160" s="13" t="s">
        <v>837</v>
      </c>
    </row>
    <row r="161" spans="1:37">
      <c r="A161" s="13" t="s">
        <v>981</v>
      </c>
      <c r="B161" s="13" t="s">
        <v>1056</v>
      </c>
      <c r="C161" s="13">
        <v>5</v>
      </c>
      <c r="D161" s="13"/>
      <c r="E161" s="13" t="s">
        <v>1002</v>
      </c>
      <c r="F161" s="13" t="s">
        <v>22</v>
      </c>
      <c r="G161" s="13" t="s">
        <v>44</v>
      </c>
      <c r="H161" s="13">
        <v>57</v>
      </c>
      <c r="I161" s="13">
        <v>90</v>
      </c>
      <c r="J161" s="13">
        <v>95</v>
      </c>
      <c r="K161" s="13">
        <v>136</v>
      </c>
      <c r="L161" s="13">
        <v>103</v>
      </c>
      <c r="M161" s="13">
        <v>29</v>
      </c>
      <c r="N161" s="18">
        <v>63</v>
      </c>
      <c r="O161" s="18" t="s">
        <v>820</v>
      </c>
      <c r="P161" s="13" t="s">
        <v>22</v>
      </c>
      <c r="Q161" t="str">
        <f>IFERROR(VLOOKUP(P161,MoveData[],3,FALSE),"")</f>
        <v>Psychic</v>
      </c>
      <c r="R161" t="str">
        <f>IFERROR(VLOOKUP(P161,MoveData[],4,FALSE),"")</f>
        <v>Special</v>
      </c>
      <c r="S161" s="14">
        <v>90</v>
      </c>
      <c r="T161" s="15">
        <v>100</v>
      </c>
      <c r="U161" s="13" t="s">
        <v>225</v>
      </c>
      <c r="V161" t="str">
        <f>IFERROR(VLOOKUP(U161,MoveData[],3,FALSE),"")</f>
        <v>Fairy</v>
      </c>
      <c r="W161" t="str">
        <f>IFERROR(VLOOKUP(U161,MoveData[],4,FALSE),"")</f>
        <v>Special</v>
      </c>
      <c r="X161" s="14">
        <v>80</v>
      </c>
      <c r="Y161" s="15">
        <v>100</v>
      </c>
      <c r="Z161" s="13" t="s">
        <v>437</v>
      </c>
      <c r="AA161" t="str">
        <f>IFERROR(VLOOKUP(Z161,MoveData[],3,FALSE),"")</f>
        <v>Fire</v>
      </c>
      <c r="AB161" t="str">
        <f>IFERROR(VLOOKUP(Z161,MoveData[],4,FALSE),"")</f>
        <v>Special</v>
      </c>
      <c r="AC161" s="14">
        <v>75</v>
      </c>
      <c r="AD161" s="15">
        <v>100</v>
      </c>
      <c r="AE161" s="13" t="s">
        <v>998</v>
      </c>
      <c r="AF161" t="str">
        <f>IFERROR(VLOOKUP(AE161,MoveData[],3,FALSE),"")</f>
        <v>Psychic</v>
      </c>
      <c r="AG161" t="str">
        <f>IFERROR(VLOOKUP(AE161,MoveData[],4,FALSE),"")</f>
        <v>Status</v>
      </c>
      <c r="AH161" s="14">
        <v>0</v>
      </c>
      <c r="AI161" s="15">
        <v>100</v>
      </c>
      <c r="AJ161" s="13" t="s">
        <v>1057</v>
      </c>
      <c r="AK161" s="13" t="s">
        <v>837</v>
      </c>
    </row>
    <row r="162" spans="1:37">
      <c r="A162" s="13" t="s">
        <v>778</v>
      </c>
      <c r="B162" s="13" t="s">
        <v>1368</v>
      </c>
      <c r="C162" s="13">
        <v>1</v>
      </c>
      <c r="D162" s="13">
        <v>1</v>
      </c>
      <c r="E162" s="13" t="s">
        <v>779</v>
      </c>
      <c r="F162" s="13" t="s">
        <v>24</v>
      </c>
      <c r="G162" s="13" t="s">
        <v>46</v>
      </c>
      <c r="H162" s="13">
        <v>60</v>
      </c>
      <c r="I162" s="13">
        <v>50</v>
      </c>
      <c r="J162" s="13">
        <v>140</v>
      </c>
      <c r="K162" s="13">
        <v>50</v>
      </c>
      <c r="L162" s="13">
        <v>140</v>
      </c>
      <c r="M162" s="13">
        <v>60</v>
      </c>
      <c r="N162" s="18">
        <v>62</v>
      </c>
      <c r="O162" s="18" t="s">
        <v>820</v>
      </c>
      <c r="P162" s="13" t="s">
        <v>517</v>
      </c>
      <c r="Q162" s="91" t="s">
        <v>20</v>
      </c>
      <c r="R162" s="91" t="s">
        <v>31</v>
      </c>
      <c r="S162" s="14">
        <v>90</v>
      </c>
      <c r="T162" s="15">
        <v>100</v>
      </c>
      <c r="U162" s="13" t="s">
        <v>533</v>
      </c>
      <c r="V162" s="91" t="s">
        <v>46</v>
      </c>
      <c r="W162" s="91" t="s">
        <v>42</v>
      </c>
      <c r="X162" s="14">
        <v>80</v>
      </c>
      <c r="Y162" s="15">
        <v>100</v>
      </c>
      <c r="Z162" s="13" t="s">
        <v>299</v>
      </c>
      <c r="AA162" s="91" t="s">
        <v>24</v>
      </c>
      <c r="AB162" s="91" t="s">
        <v>42</v>
      </c>
      <c r="AC162" s="14">
        <v>80</v>
      </c>
      <c r="AD162" s="15">
        <v>100</v>
      </c>
      <c r="AE162" s="13" t="s">
        <v>780</v>
      </c>
      <c r="AF162" s="91" t="s">
        <v>24</v>
      </c>
      <c r="AG162" s="91" t="s">
        <v>33</v>
      </c>
      <c r="AH162" s="14">
        <v>0</v>
      </c>
      <c r="AI162" s="15">
        <v>100</v>
      </c>
      <c r="AJ162" s="13" t="s">
        <v>845</v>
      </c>
      <c r="AK162" s="13" t="s">
        <v>839</v>
      </c>
    </row>
    <row r="163" spans="1:37">
      <c r="A163" s="13" t="s">
        <v>778</v>
      </c>
      <c r="B163" s="13" t="s">
        <v>1368</v>
      </c>
      <c r="C163" s="13">
        <v>1</v>
      </c>
      <c r="D163" s="13">
        <v>2</v>
      </c>
      <c r="E163" s="13" t="s">
        <v>781</v>
      </c>
      <c r="F163" s="13" t="s">
        <v>47</v>
      </c>
      <c r="G163" s="13" t="s">
        <v>46</v>
      </c>
      <c r="H163" s="13">
        <v>88</v>
      </c>
      <c r="I163" s="13">
        <v>120</v>
      </c>
      <c r="J163" s="13">
        <v>75</v>
      </c>
      <c r="K163" s="13">
        <v>100</v>
      </c>
      <c r="L163" s="13">
        <v>75</v>
      </c>
      <c r="M163" s="13">
        <v>142</v>
      </c>
      <c r="N163" s="18">
        <v>62</v>
      </c>
      <c r="O163" s="18" t="s">
        <v>820</v>
      </c>
      <c r="P163" s="13" t="s">
        <v>533</v>
      </c>
      <c r="Q163" s="91" t="s">
        <v>46</v>
      </c>
      <c r="R163" s="91" t="s">
        <v>42</v>
      </c>
      <c r="S163" s="14">
        <v>80</v>
      </c>
      <c r="T163" s="15">
        <v>100</v>
      </c>
      <c r="U163" s="13" t="s">
        <v>297</v>
      </c>
      <c r="V163" s="91" t="s">
        <v>19</v>
      </c>
      <c r="W163" s="91" t="s">
        <v>42</v>
      </c>
      <c r="X163" s="14">
        <v>90</v>
      </c>
      <c r="Y163" s="15">
        <v>100</v>
      </c>
      <c r="Z163" s="13" t="s">
        <v>617</v>
      </c>
      <c r="AA163" s="91" t="s">
        <v>41</v>
      </c>
      <c r="AB163" s="91" t="s">
        <v>42</v>
      </c>
      <c r="AC163" s="14">
        <v>90</v>
      </c>
      <c r="AD163" s="15">
        <v>100</v>
      </c>
      <c r="AE163" s="13" t="s">
        <v>240</v>
      </c>
      <c r="AF163" s="91" t="s">
        <v>47</v>
      </c>
      <c r="AG163" s="91" t="s">
        <v>42</v>
      </c>
      <c r="AH163" s="14">
        <v>60</v>
      </c>
      <c r="AI163" s="15">
        <v>100</v>
      </c>
      <c r="AJ163" s="13" t="s">
        <v>846</v>
      </c>
      <c r="AK163" s="13" t="s">
        <v>831</v>
      </c>
    </row>
    <row r="164" spans="1:37">
      <c r="A164" s="13" t="s">
        <v>778</v>
      </c>
      <c r="B164" s="13" t="s">
        <v>1368</v>
      </c>
      <c r="C164" s="13">
        <v>1</v>
      </c>
      <c r="D164" s="13">
        <v>3</v>
      </c>
      <c r="E164" s="13" t="s">
        <v>782</v>
      </c>
      <c r="F164" s="13" t="s">
        <v>47</v>
      </c>
      <c r="G164" s="13"/>
      <c r="H164" s="13">
        <v>76</v>
      </c>
      <c r="I164" s="13">
        <v>147</v>
      </c>
      <c r="J164" s="13">
        <v>90</v>
      </c>
      <c r="K164" s="13">
        <v>60</v>
      </c>
      <c r="L164" s="13">
        <v>70</v>
      </c>
      <c r="M164" s="13">
        <v>97</v>
      </c>
      <c r="N164" s="18">
        <v>63</v>
      </c>
      <c r="O164" s="18" t="s">
        <v>820</v>
      </c>
      <c r="P164" s="13" t="s">
        <v>467</v>
      </c>
      <c r="Q164" s="91" t="s">
        <v>53</v>
      </c>
      <c r="R164" s="91" t="s">
        <v>31</v>
      </c>
      <c r="S164" s="14">
        <v>80</v>
      </c>
      <c r="T164" s="15">
        <v>100</v>
      </c>
      <c r="U164" s="13" t="s">
        <v>376</v>
      </c>
      <c r="V164" s="91" t="s">
        <v>24</v>
      </c>
      <c r="W164" s="91" t="s">
        <v>31</v>
      </c>
      <c r="X164" s="14">
        <v>100</v>
      </c>
      <c r="Y164" s="15">
        <v>75</v>
      </c>
      <c r="Z164" s="13" t="s">
        <v>450</v>
      </c>
      <c r="AA164" s="91" t="s">
        <v>47</v>
      </c>
      <c r="AB164" s="91" t="s">
        <v>31</v>
      </c>
      <c r="AC164" s="14">
        <v>120</v>
      </c>
      <c r="AD164" s="15">
        <v>100</v>
      </c>
      <c r="AE164" s="13" t="s">
        <v>259</v>
      </c>
      <c r="AF164" s="91" t="s">
        <v>23</v>
      </c>
      <c r="AG164" s="91" t="s">
        <v>31</v>
      </c>
      <c r="AH164" s="14">
        <v>100</v>
      </c>
      <c r="AI164" s="15">
        <v>100</v>
      </c>
      <c r="AJ164" s="13" t="s">
        <v>847</v>
      </c>
      <c r="AK164" s="13" t="s">
        <v>831</v>
      </c>
    </row>
    <row r="165" spans="1:37">
      <c r="A165" s="13" t="s">
        <v>778</v>
      </c>
      <c r="B165" s="13" t="s">
        <v>1368</v>
      </c>
      <c r="C165" s="13">
        <v>1</v>
      </c>
      <c r="D165" s="13">
        <v>4</v>
      </c>
      <c r="E165" s="13" t="s">
        <v>1369</v>
      </c>
      <c r="F165" s="13" t="s">
        <v>34</v>
      </c>
      <c r="G165" s="13" t="s">
        <v>23</v>
      </c>
      <c r="H165" s="13">
        <v>105</v>
      </c>
      <c r="I165" s="13">
        <v>95</v>
      </c>
      <c r="J165" s="13">
        <v>75</v>
      </c>
      <c r="K165" s="13">
        <v>85</v>
      </c>
      <c r="L165" s="13">
        <v>75</v>
      </c>
      <c r="M165" s="13">
        <v>74</v>
      </c>
      <c r="N165" s="18">
        <v>64</v>
      </c>
      <c r="O165" s="18" t="s">
        <v>820</v>
      </c>
      <c r="P165" s="13" t="s">
        <v>736</v>
      </c>
      <c r="Q165" s="91" t="s">
        <v>53</v>
      </c>
      <c r="R165" s="91" t="s">
        <v>33</v>
      </c>
      <c r="S165" s="14">
        <v>0</v>
      </c>
      <c r="T165" s="15">
        <v>90</v>
      </c>
      <c r="U165" s="13" t="s">
        <v>249</v>
      </c>
      <c r="V165" s="91" t="s">
        <v>20</v>
      </c>
      <c r="W165" s="91" t="s">
        <v>31</v>
      </c>
      <c r="X165" s="14">
        <v>75</v>
      </c>
      <c r="Y165" s="15">
        <v>100</v>
      </c>
      <c r="Z165" s="13" t="s">
        <v>102</v>
      </c>
      <c r="AA165" s="91" t="s">
        <v>34</v>
      </c>
      <c r="AB165" s="91" t="s">
        <v>31</v>
      </c>
      <c r="AC165" s="14">
        <v>85</v>
      </c>
      <c r="AD165" s="15">
        <v>100</v>
      </c>
      <c r="AE165" s="13" t="s">
        <v>259</v>
      </c>
      <c r="AF165" s="91" t="s">
        <v>23</v>
      </c>
      <c r="AG165" s="91" t="s">
        <v>31</v>
      </c>
      <c r="AH165" s="14">
        <v>100</v>
      </c>
      <c r="AI165" s="15">
        <v>100</v>
      </c>
      <c r="AJ165" s="13" t="s">
        <v>1370</v>
      </c>
      <c r="AK165" s="13" t="s">
        <v>831</v>
      </c>
    </row>
    <row r="166" spans="1:37">
      <c r="A166" s="13" t="s">
        <v>778</v>
      </c>
      <c r="B166" s="13" t="s">
        <v>1368</v>
      </c>
      <c r="C166" s="13">
        <v>1</v>
      </c>
      <c r="D166" s="13">
        <v>5</v>
      </c>
      <c r="E166" s="13" t="s">
        <v>1371</v>
      </c>
      <c r="F166" s="13" t="s">
        <v>19</v>
      </c>
      <c r="G166" s="13"/>
      <c r="H166" s="13">
        <v>80</v>
      </c>
      <c r="I166" s="13">
        <v>116</v>
      </c>
      <c r="J166" s="13">
        <v>75</v>
      </c>
      <c r="K166" s="13">
        <v>65</v>
      </c>
      <c r="L166" s="13">
        <v>75</v>
      </c>
      <c r="M166" s="13">
        <v>119</v>
      </c>
      <c r="N166" s="18">
        <v>64</v>
      </c>
      <c r="O166" s="18" t="s">
        <v>820</v>
      </c>
      <c r="P166" s="13" t="s">
        <v>492</v>
      </c>
      <c r="Q166" s="91" t="s">
        <v>19</v>
      </c>
      <c r="R166" s="91" t="s">
        <v>31</v>
      </c>
      <c r="S166" s="14">
        <v>120</v>
      </c>
      <c r="T166" s="15">
        <v>90</v>
      </c>
      <c r="U166" s="13" t="s">
        <v>280</v>
      </c>
      <c r="V166" s="91" t="s">
        <v>32</v>
      </c>
      <c r="W166" s="91" t="s">
        <v>31</v>
      </c>
      <c r="X166" s="14">
        <v>30</v>
      </c>
      <c r="Y166" s="15">
        <v>100</v>
      </c>
      <c r="Z166" s="13" t="s">
        <v>141</v>
      </c>
      <c r="AA166" s="91" t="s">
        <v>35</v>
      </c>
      <c r="AB166" s="91" t="s">
        <v>31</v>
      </c>
      <c r="AC166" s="14">
        <v>55</v>
      </c>
      <c r="AD166" s="15">
        <v>100</v>
      </c>
      <c r="AE166" s="13" t="s">
        <v>493</v>
      </c>
      <c r="AF166" s="91" t="s">
        <v>32</v>
      </c>
      <c r="AG166" s="91" t="s">
        <v>31</v>
      </c>
      <c r="AH166" s="14">
        <v>40</v>
      </c>
      <c r="AI166" s="15">
        <v>100</v>
      </c>
      <c r="AJ166" s="13" t="s">
        <v>850</v>
      </c>
      <c r="AK166" s="13" t="s">
        <v>843</v>
      </c>
    </row>
    <row r="167" spans="1:37">
      <c r="A167" s="13" t="s">
        <v>778</v>
      </c>
      <c r="B167" s="13" t="s">
        <v>1368</v>
      </c>
      <c r="C167" s="13">
        <v>1</v>
      </c>
      <c r="D167" s="13">
        <v>6</v>
      </c>
      <c r="E167" s="13" t="s">
        <v>786</v>
      </c>
      <c r="F167" s="13" t="s">
        <v>19</v>
      </c>
      <c r="G167" s="13" t="s">
        <v>35</v>
      </c>
      <c r="H167" s="13">
        <v>78</v>
      </c>
      <c r="I167" s="13">
        <v>84</v>
      </c>
      <c r="J167" s="13">
        <v>78</v>
      </c>
      <c r="K167" s="13">
        <v>109</v>
      </c>
      <c r="L167" s="13">
        <v>85</v>
      </c>
      <c r="M167" s="13">
        <v>100</v>
      </c>
      <c r="N167" s="18">
        <v>65</v>
      </c>
      <c r="O167" s="18" t="s">
        <v>820</v>
      </c>
      <c r="P167" s="13" t="s">
        <v>787</v>
      </c>
      <c r="Q167" s="91" t="s">
        <v>19</v>
      </c>
      <c r="R167" s="91" t="s">
        <v>42</v>
      </c>
      <c r="S167" s="14">
        <v>140</v>
      </c>
      <c r="T167" s="15">
        <v>100</v>
      </c>
      <c r="U167" s="13" t="s">
        <v>404</v>
      </c>
      <c r="V167" s="91" t="s">
        <v>35</v>
      </c>
      <c r="W167" s="91" t="s">
        <v>42</v>
      </c>
      <c r="X167" s="14">
        <v>130</v>
      </c>
      <c r="Y167" s="15">
        <v>100</v>
      </c>
      <c r="Z167" s="13" t="s">
        <v>63</v>
      </c>
      <c r="AA167" s="91" t="s">
        <v>43</v>
      </c>
      <c r="AB167" s="91" t="s">
        <v>42</v>
      </c>
      <c r="AC167" s="14">
        <v>140</v>
      </c>
      <c r="AD167" s="15">
        <v>100</v>
      </c>
      <c r="AE167" s="13" t="s">
        <v>124</v>
      </c>
      <c r="AF167" s="91" t="s">
        <v>25</v>
      </c>
      <c r="AG167" s="91" t="s">
        <v>42</v>
      </c>
      <c r="AH167" s="14">
        <v>110</v>
      </c>
      <c r="AI167" s="15">
        <v>100</v>
      </c>
      <c r="AJ167" s="13" t="s">
        <v>850</v>
      </c>
      <c r="AK167" s="13" t="s">
        <v>843</v>
      </c>
    </row>
    <row r="168" spans="1:37">
      <c r="A168" s="13" t="s">
        <v>778</v>
      </c>
      <c r="B168" s="13" t="s">
        <v>1372</v>
      </c>
      <c r="C168" s="13">
        <v>1</v>
      </c>
      <c r="D168" s="13">
        <v>1</v>
      </c>
      <c r="E168" s="13" t="s">
        <v>779</v>
      </c>
      <c r="F168" s="13" t="s">
        <v>24</v>
      </c>
      <c r="G168" s="13" t="s">
        <v>46</v>
      </c>
      <c r="H168" s="13">
        <v>60</v>
      </c>
      <c r="I168" s="13">
        <v>50</v>
      </c>
      <c r="J168" s="13">
        <v>140</v>
      </c>
      <c r="K168" s="13">
        <v>50</v>
      </c>
      <c r="L168" s="13">
        <v>140</v>
      </c>
      <c r="M168" s="13">
        <v>60</v>
      </c>
      <c r="N168" s="18">
        <v>62</v>
      </c>
      <c r="O168" s="18" t="s">
        <v>820</v>
      </c>
      <c r="P168" s="13" t="s">
        <v>517</v>
      </c>
      <c r="Q168" s="91" t="s">
        <v>20</v>
      </c>
      <c r="R168" s="91" t="s">
        <v>31</v>
      </c>
      <c r="S168" s="14">
        <v>90</v>
      </c>
      <c r="T168" s="15">
        <v>100</v>
      </c>
      <c r="U168" s="13" t="s">
        <v>533</v>
      </c>
      <c r="V168" s="91" t="s">
        <v>46</v>
      </c>
      <c r="W168" s="91" t="s">
        <v>42</v>
      </c>
      <c r="X168" s="14">
        <v>80</v>
      </c>
      <c r="Y168" s="15">
        <v>100</v>
      </c>
      <c r="Z168" s="13" t="s">
        <v>299</v>
      </c>
      <c r="AA168" s="91" t="s">
        <v>24</v>
      </c>
      <c r="AB168" s="91" t="s">
        <v>42</v>
      </c>
      <c r="AC168" s="14">
        <v>80</v>
      </c>
      <c r="AD168" s="15">
        <v>100</v>
      </c>
      <c r="AE168" s="13" t="s">
        <v>780</v>
      </c>
      <c r="AF168" s="91" t="s">
        <v>24</v>
      </c>
      <c r="AG168" s="91" t="s">
        <v>33</v>
      </c>
      <c r="AH168" s="14">
        <v>0</v>
      </c>
      <c r="AI168" s="15">
        <v>100</v>
      </c>
      <c r="AJ168" s="13" t="s">
        <v>845</v>
      </c>
      <c r="AK168" s="13" t="s">
        <v>839</v>
      </c>
    </row>
    <row r="169" spans="1:37">
      <c r="A169" s="13" t="s">
        <v>778</v>
      </c>
      <c r="B169" s="13" t="s">
        <v>1372</v>
      </c>
      <c r="C169" s="13">
        <v>1</v>
      </c>
      <c r="D169" s="13">
        <v>2</v>
      </c>
      <c r="E169" s="13" t="s">
        <v>781</v>
      </c>
      <c r="F169" s="13" t="s">
        <v>47</v>
      </c>
      <c r="G169" s="13" t="s">
        <v>46</v>
      </c>
      <c r="H169" s="13">
        <v>88</v>
      </c>
      <c r="I169" s="13">
        <v>120</v>
      </c>
      <c r="J169" s="13">
        <v>75</v>
      </c>
      <c r="K169" s="13">
        <v>100</v>
      </c>
      <c r="L169" s="13">
        <v>75</v>
      </c>
      <c r="M169" s="13">
        <v>142</v>
      </c>
      <c r="N169" s="18">
        <v>62</v>
      </c>
      <c r="O169" s="18" t="s">
        <v>820</v>
      </c>
      <c r="P169" s="13" t="s">
        <v>533</v>
      </c>
      <c r="Q169" s="91" t="s">
        <v>46</v>
      </c>
      <c r="R169" s="91" t="s">
        <v>42</v>
      </c>
      <c r="S169" s="14">
        <v>80</v>
      </c>
      <c r="T169" s="15">
        <v>100</v>
      </c>
      <c r="U169" s="13" t="s">
        <v>297</v>
      </c>
      <c r="V169" s="91" t="s">
        <v>19</v>
      </c>
      <c r="W169" s="91" t="s">
        <v>42</v>
      </c>
      <c r="X169" s="14">
        <v>90</v>
      </c>
      <c r="Y169" s="15">
        <v>100</v>
      </c>
      <c r="Z169" s="13" t="s">
        <v>617</v>
      </c>
      <c r="AA169" s="91" t="s">
        <v>41</v>
      </c>
      <c r="AB169" s="91" t="s">
        <v>42</v>
      </c>
      <c r="AC169" s="14">
        <v>90</v>
      </c>
      <c r="AD169" s="15">
        <v>100</v>
      </c>
      <c r="AE169" s="13" t="s">
        <v>240</v>
      </c>
      <c r="AF169" s="91" t="s">
        <v>47</v>
      </c>
      <c r="AG169" s="91" t="s">
        <v>42</v>
      </c>
      <c r="AH169" s="14">
        <v>60</v>
      </c>
      <c r="AI169" s="15">
        <v>100</v>
      </c>
      <c r="AJ169" s="13" t="s">
        <v>846</v>
      </c>
      <c r="AK169" s="13" t="s">
        <v>831</v>
      </c>
    </row>
    <row r="170" spans="1:37">
      <c r="A170" s="13" t="s">
        <v>778</v>
      </c>
      <c r="B170" s="13" t="s">
        <v>1372</v>
      </c>
      <c r="C170" s="13">
        <v>1</v>
      </c>
      <c r="D170" s="13">
        <v>3</v>
      </c>
      <c r="E170" s="13" t="s">
        <v>782</v>
      </c>
      <c r="F170" s="13" t="s">
        <v>47</v>
      </c>
      <c r="G170" s="13"/>
      <c r="H170" s="13">
        <v>76</v>
      </c>
      <c r="I170" s="13">
        <v>147</v>
      </c>
      <c r="J170" s="13">
        <v>90</v>
      </c>
      <c r="K170" s="13">
        <v>60</v>
      </c>
      <c r="L170" s="13">
        <v>70</v>
      </c>
      <c r="M170" s="13">
        <v>97</v>
      </c>
      <c r="N170" s="18">
        <v>63</v>
      </c>
      <c r="O170" s="18" t="s">
        <v>820</v>
      </c>
      <c r="P170" s="13" t="s">
        <v>467</v>
      </c>
      <c r="Q170" s="91" t="s">
        <v>53</v>
      </c>
      <c r="R170" s="91" t="s">
        <v>31</v>
      </c>
      <c r="S170" s="14">
        <v>80</v>
      </c>
      <c r="T170" s="15">
        <v>100</v>
      </c>
      <c r="U170" s="13" t="s">
        <v>376</v>
      </c>
      <c r="V170" s="91" t="s">
        <v>24</v>
      </c>
      <c r="W170" s="91" t="s">
        <v>31</v>
      </c>
      <c r="X170" s="14">
        <v>100</v>
      </c>
      <c r="Y170" s="15">
        <v>75</v>
      </c>
      <c r="Z170" s="13" t="s">
        <v>450</v>
      </c>
      <c r="AA170" s="91" t="s">
        <v>47</v>
      </c>
      <c r="AB170" s="91" t="s">
        <v>31</v>
      </c>
      <c r="AC170" s="14">
        <v>120</v>
      </c>
      <c r="AD170" s="15">
        <v>100</v>
      </c>
      <c r="AE170" s="13" t="s">
        <v>259</v>
      </c>
      <c r="AF170" s="91" t="s">
        <v>23</v>
      </c>
      <c r="AG170" s="91" t="s">
        <v>31</v>
      </c>
      <c r="AH170" s="14">
        <v>100</v>
      </c>
      <c r="AI170" s="15">
        <v>100</v>
      </c>
      <c r="AJ170" s="13" t="s">
        <v>847</v>
      </c>
      <c r="AK170" s="13" t="s">
        <v>831</v>
      </c>
    </row>
    <row r="171" spans="1:37">
      <c r="A171" s="13" t="s">
        <v>778</v>
      </c>
      <c r="B171" s="13" t="s">
        <v>1372</v>
      </c>
      <c r="C171" s="13">
        <v>1</v>
      </c>
      <c r="D171" s="13">
        <v>4</v>
      </c>
      <c r="E171" s="13" t="s">
        <v>1373</v>
      </c>
      <c r="F171" s="13" t="s">
        <v>23</v>
      </c>
      <c r="G171" s="13" t="s">
        <v>25</v>
      </c>
      <c r="H171" s="13">
        <v>115</v>
      </c>
      <c r="I171" s="13">
        <v>140</v>
      </c>
      <c r="J171" s="13">
        <v>130</v>
      </c>
      <c r="K171" s="13">
        <v>55</v>
      </c>
      <c r="L171" s="13">
        <v>55</v>
      </c>
      <c r="M171" s="13">
        <v>40</v>
      </c>
      <c r="N171" s="18">
        <v>64</v>
      </c>
      <c r="O171" s="18" t="s">
        <v>820</v>
      </c>
      <c r="P171" s="13" t="s">
        <v>259</v>
      </c>
      <c r="Q171" s="91" t="s">
        <v>23</v>
      </c>
      <c r="R171" s="91" t="s">
        <v>31</v>
      </c>
      <c r="S171" s="14">
        <v>100</v>
      </c>
      <c r="T171" s="15">
        <v>100</v>
      </c>
      <c r="U171" s="13" t="s">
        <v>587</v>
      </c>
      <c r="V171" s="91" t="s">
        <v>25</v>
      </c>
      <c r="W171" s="91" t="s">
        <v>31</v>
      </c>
      <c r="X171" s="14">
        <v>100</v>
      </c>
      <c r="Y171" s="15">
        <v>80</v>
      </c>
      <c r="Z171" s="13" t="s">
        <v>113</v>
      </c>
      <c r="AA171" s="91" t="s">
        <v>21</v>
      </c>
      <c r="AB171" s="91" t="s">
        <v>31</v>
      </c>
      <c r="AC171" s="14">
        <v>120</v>
      </c>
      <c r="AD171" s="15">
        <v>85</v>
      </c>
      <c r="AE171" s="13" t="s">
        <v>344</v>
      </c>
      <c r="AF171" s="91" t="s">
        <v>19</v>
      </c>
      <c r="AG171" s="91" t="s">
        <v>31</v>
      </c>
      <c r="AH171" s="14">
        <v>0</v>
      </c>
      <c r="AI171" s="15">
        <v>100</v>
      </c>
      <c r="AJ171" s="13" t="s">
        <v>913</v>
      </c>
      <c r="AK171" s="13" t="s">
        <v>831</v>
      </c>
    </row>
    <row r="172" spans="1:37">
      <c r="A172" s="13" t="s">
        <v>778</v>
      </c>
      <c r="B172" s="13" t="s">
        <v>1372</v>
      </c>
      <c r="C172" s="13">
        <v>1</v>
      </c>
      <c r="D172" s="13">
        <v>5</v>
      </c>
      <c r="E172" s="13" t="s">
        <v>696</v>
      </c>
      <c r="F172" s="13" t="s">
        <v>43</v>
      </c>
      <c r="G172" s="13"/>
      <c r="H172" s="13">
        <v>100</v>
      </c>
      <c r="I172" s="13">
        <v>125</v>
      </c>
      <c r="J172" s="13">
        <v>90</v>
      </c>
      <c r="K172" s="13">
        <v>60</v>
      </c>
      <c r="L172" s="13">
        <v>70</v>
      </c>
      <c r="M172" s="13">
        <v>85</v>
      </c>
      <c r="N172" s="18">
        <v>64</v>
      </c>
      <c r="O172" s="18" t="s">
        <v>820</v>
      </c>
      <c r="P172" s="13" t="s">
        <v>253</v>
      </c>
      <c r="Q172" s="91" t="s">
        <v>43</v>
      </c>
      <c r="R172" s="91" t="s">
        <v>31</v>
      </c>
      <c r="S172" s="14">
        <v>80</v>
      </c>
      <c r="T172" s="15">
        <v>100</v>
      </c>
      <c r="U172" s="13" t="s">
        <v>381</v>
      </c>
      <c r="V172" s="91" t="s">
        <v>38</v>
      </c>
      <c r="W172" s="91" t="s">
        <v>31</v>
      </c>
      <c r="X172" s="14">
        <v>65</v>
      </c>
      <c r="Y172" s="15">
        <v>100</v>
      </c>
      <c r="Z172" s="13" t="s">
        <v>349</v>
      </c>
      <c r="AA172" s="91" t="s">
        <v>23</v>
      </c>
      <c r="AB172" s="91" t="s">
        <v>31</v>
      </c>
      <c r="AC172" s="14">
        <v>95</v>
      </c>
      <c r="AD172" s="15">
        <v>95</v>
      </c>
      <c r="AE172" s="13" t="s">
        <v>266</v>
      </c>
      <c r="AF172" s="91" t="s">
        <v>32</v>
      </c>
      <c r="AG172" s="91" t="s">
        <v>31</v>
      </c>
      <c r="AH172" s="14">
        <v>0</v>
      </c>
      <c r="AI172" s="15">
        <v>100</v>
      </c>
      <c r="AJ172" s="13" t="s">
        <v>842</v>
      </c>
      <c r="AK172" s="13" t="s">
        <v>843</v>
      </c>
    </row>
    <row r="173" spans="1:37">
      <c r="A173" s="13" t="s">
        <v>778</v>
      </c>
      <c r="B173" s="13" t="s">
        <v>1372</v>
      </c>
      <c r="C173" s="13">
        <v>1</v>
      </c>
      <c r="D173" s="13">
        <v>6</v>
      </c>
      <c r="E173" s="13" t="s">
        <v>786</v>
      </c>
      <c r="F173" s="13" t="s">
        <v>19</v>
      </c>
      <c r="G173" s="13" t="s">
        <v>35</v>
      </c>
      <c r="H173" s="13">
        <v>78</v>
      </c>
      <c r="I173" s="13">
        <v>84</v>
      </c>
      <c r="J173" s="13">
        <v>78</v>
      </c>
      <c r="K173" s="13">
        <v>109</v>
      </c>
      <c r="L173" s="13">
        <v>85</v>
      </c>
      <c r="M173" s="13">
        <v>100</v>
      </c>
      <c r="N173" s="18">
        <v>65</v>
      </c>
      <c r="O173" s="18" t="s">
        <v>820</v>
      </c>
      <c r="P173" s="13" t="s">
        <v>787</v>
      </c>
      <c r="Q173" s="91" t="s">
        <v>19</v>
      </c>
      <c r="R173" s="91" t="s">
        <v>42</v>
      </c>
      <c r="S173" s="14">
        <v>140</v>
      </c>
      <c r="T173" s="15">
        <v>100</v>
      </c>
      <c r="U173" s="13" t="s">
        <v>404</v>
      </c>
      <c r="V173" s="91" t="s">
        <v>35</v>
      </c>
      <c r="W173" s="91" t="s">
        <v>42</v>
      </c>
      <c r="X173" s="14">
        <v>130</v>
      </c>
      <c r="Y173" s="15">
        <v>100</v>
      </c>
      <c r="Z173" s="13" t="s">
        <v>63</v>
      </c>
      <c r="AA173" s="91" t="s">
        <v>43</v>
      </c>
      <c r="AB173" s="91" t="s">
        <v>42</v>
      </c>
      <c r="AC173" s="14">
        <v>140</v>
      </c>
      <c r="AD173" s="15">
        <v>100</v>
      </c>
      <c r="AE173" s="13" t="s">
        <v>124</v>
      </c>
      <c r="AF173" s="91" t="s">
        <v>25</v>
      </c>
      <c r="AG173" s="91" t="s">
        <v>42</v>
      </c>
      <c r="AH173" s="14">
        <v>110</v>
      </c>
      <c r="AI173" s="15">
        <v>100</v>
      </c>
      <c r="AJ173" s="13" t="s">
        <v>850</v>
      </c>
      <c r="AK173" s="13" t="s">
        <v>843</v>
      </c>
    </row>
    <row r="174" spans="1:37">
      <c r="T174" s="2"/>
      <c r="Y174" s="2"/>
      <c r="AD174" s="2"/>
      <c r="AI174" s="2"/>
    </row>
    <row r="175" spans="1:37">
      <c r="T175" s="2"/>
      <c r="Y175" s="2"/>
      <c r="AD175" s="2"/>
      <c r="AI175" s="2"/>
    </row>
    <row r="176" spans="1:37">
      <c r="T176" s="2"/>
      <c r="Y176" s="2"/>
      <c r="AD176" s="2"/>
      <c r="AI176" s="2"/>
    </row>
    <row r="177" spans="20:35">
      <c r="T177" s="2"/>
      <c r="Y177" s="2"/>
      <c r="AD177" s="2"/>
      <c r="AI177" s="2"/>
    </row>
    <row r="178" spans="20:35">
      <c r="T178" s="2"/>
      <c r="Y178" s="2"/>
      <c r="AD178" s="2"/>
      <c r="AI178" s="2"/>
    </row>
    <row r="179" spans="20:35">
      <c r="T179" s="2"/>
      <c r="Y179" s="2"/>
      <c r="AD179" s="2"/>
      <c r="AI179" s="2"/>
    </row>
    <row r="180" spans="20:35">
      <c r="T180" s="2"/>
      <c r="Y180" s="2"/>
      <c r="AD180" s="2"/>
      <c r="AI180" s="2"/>
    </row>
    <row r="181" spans="20:35">
      <c r="T181" s="2"/>
      <c r="Y181" s="2"/>
      <c r="AD181" s="2"/>
      <c r="AI181" s="2"/>
    </row>
    <row r="182" spans="20:35">
      <c r="T182" s="2"/>
      <c r="Y182" s="2"/>
      <c r="AD182" s="2"/>
      <c r="AI182" s="2"/>
    </row>
    <row r="183" spans="20:35">
      <c r="T183" s="2"/>
      <c r="Y183" s="2"/>
      <c r="AD183" s="2"/>
      <c r="AI183" s="2"/>
    </row>
    <row r="184" spans="20:35">
      <c r="T184" s="2"/>
      <c r="Y184" s="2"/>
      <c r="AD184" s="2"/>
      <c r="AI184" s="2"/>
    </row>
    <row r="185" spans="20:35">
      <c r="T185" s="2"/>
      <c r="Y185" s="2"/>
      <c r="AD185" s="2"/>
      <c r="AI185" s="2"/>
    </row>
    <row r="186" spans="20:35">
      <c r="T186" s="2"/>
      <c r="Y186" s="2"/>
      <c r="AD186" s="2"/>
      <c r="AI186" s="2"/>
    </row>
    <row r="187" spans="20:35">
      <c r="T187" s="2"/>
      <c r="Y187" s="2"/>
      <c r="AD187" s="2"/>
      <c r="AI187" s="2"/>
    </row>
    <row r="188" spans="20:35">
      <c r="T188" s="2"/>
      <c r="Y188" s="2"/>
      <c r="AD188" s="2"/>
      <c r="AI188" s="2"/>
    </row>
    <row r="189" spans="20:35">
      <c r="T189" s="2"/>
      <c r="Y189" s="2"/>
      <c r="AD189" s="2"/>
      <c r="AI189" s="2"/>
    </row>
  </sheetData>
  <sheetProtection insertRows="0" deleteRows="0" sort="0" autoFilter="0"/>
  <phoneticPr fontId="2" type="noConversion"/>
  <dataValidations count="2">
    <dataValidation type="list" allowBlank="1" showInputMessage="1" showErrorMessage="1" sqref="F2:G173" xr:uid="{167031EF-DE02-425E-9B6E-88791DE9A717}">
      <formula1>"Normal,Fire,Water,Electric,Grass,Ice,Fighting,Poison,Ground,Flying,Psychic,Bug,Rock,Ghost,Dragon,Dark,Steel,Fairy"</formula1>
    </dataValidation>
    <dataValidation type="list" allowBlank="1" showInputMessage="1" sqref="U2:U189 AE2:AE189 P2:P189 Z2:Z189" xr:uid="{07AA8DF5-18B7-4A2C-8ED7-691AB69AF306}">
      <formula1>INDIRECT("MoveData[Move]")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9DD0-A55D-4321-BB92-8752446256EC}">
  <dimension ref="A1:FV28"/>
  <sheetViews>
    <sheetView showGridLines="0" tabSelected="1" workbookViewId="0">
      <selection activeCell="B4" sqref="B4"/>
    </sheetView>
  </sheetViews>
  <sheetFormatPr defaultRowHeight="15"/>
  <cols>
    <col min="1" max="1" width="18" customWidth="1"/>
    <col min="2" max="2" width="20" customWidth="1"/>
    <col min="3" max="3" width="10.85546875" customWidth="1"/>
    <col min="4" max="4" width="16.28515625" customWidth="1"/>
    <col min="5" max="5" width="10" customWidth="1"/>
    <col min="6" max="6" width="12.7109375" customWidth="1"/>
    <col min="7" max="7" width="7.5703125" customWidth="1"/>
    <col min="8" max="8" width="27.5703125" customWidth="1"/>
    <col min="9" max="9" width="10.140625" customWidth="1"/>
    <col min="10" max="10" width="39.85546875" customWidth="1"/>
    <col min="11" max="13" width="0" hidden="1" customWidth="1"/>
    <col min="14" max="14" width="11.42578125" hidden="1" customWidth="1"/>
    <col min="15" max="15" width="15.7109375" hidden="1" customWidth="1"/>
    <col min="16" max="16" width="17" hidden="1" customWidth="1"/>
    <col min="17" max="17" width="19.7109375" hidden="1" customWidth="1"/>
    <col min="18" max="20" width="24.140625" hidden="1" customWidth="1"/>
    <col min="21" max="21" width="16.5703125" hidden="1" customWidth="1"/>
    <col min="22" max="22" width="11.42578125" hidden="1" customWidth="1"/>
    <col min="23" max="23" width="15.7109375" hidden="1" customWidth="1"/>
    <col min="24" max="24" width="17" hidden="1" customWidth="1"/>
    <col min="25" max="25" width="19.7109375" hidden="1" customWidth="1"/>
    <col min="26" max="28" width="24.140625" hidden="1" customWidth="1"/>
    <col min="29" max="29" width="16.5703125" hidden="1" customWidth="1"/>
    <col min="30" max="30" width="11.42578125" hidden="1" customWidth="1"/>
    <col min="31" max="31" width="15.7109375" hidden="1" customWidth="1"/>
    <col min="32" max="32" width="17" hidden="1" customWidth="1"/>
    <col min="33" max="33" width="19.7109375" hidden="1" customWidth="1"/>
    <col min="34" max="36" width="24.140625" hidden="1" customWidth="1"/>
    <col min="37" max="37" width="16.5703125" hidden="1" customWidth="1"/>
    <col min="38" max="38" width="11.42578125" hidden="1" customWidth="1"/>
    <col min="39" max="39" width="15.7109375" hidden="1" customWidth="1"/>
    <col min="40" max="40" width="17" hidden="1" customWidth="1"/>
    <col min="41" max="41" width="19.7109375" hidden="1" customWidth="1"/>
    <col min="42" max="44" width="24.140625" hidden="1" customWidth="1"/>
    <col min="45" max="45" width="16.5703125" hidden="1" customWidth="1"/>
    <col min="46" max="53" width="0" hidden="1" customWidth="1"/>
    <col min="54" max="58" width="9.140625" hidden="1" customWidth="1"/>
    <col min="59" max="178" width="0" hidden="1" customWidth="1"/>
  </cols>
  <sheetData>
    <row r="1" spans="1:178" ht="33" customHeight="1" thickBot="1">
      <c r="A1" s="88" t="s">
        <v>1005</v>
      </c>
      <c r="B1" s="8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77</v>
      </c>
      <c r="O1" s="19" t="s">
        <v>78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spans="1:178" ht="36">
      <c r="A2" s="20" t="s">
        <v>798</v>
      </c>
      <c r="B2" s="21" t="s">
        <v>71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30" t="str" cm="1">
        <f t="array" ref="N2">_xlfn.XLOOKUP(1,(Opponent[Trainer]=$B$2)*(Opponent[Battle]=$B$3)*(Opponent[Pokemon]=$B$4),Opponent[Type1])</f>
        <v>Bug</v>
      </c>
      <c r="O2" s="30" t="str" cm="1">
        <f t="array" ref="O2">_xlfn.XLOOKUP(1,(Opponent[Trainer]=$B$2)*(Opponent[Battle]=$B$3)*(Opponent[Pokemon]=$B$4),Opponent[Type2])</f>
        <v>Water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</row>
    <row r="3" spans="1:178" ht="36">
      <c r="A3" s="22" t="s">
        <v>799</v>
      </c>
      <c r="B3" s="92" t="s">
        <v>99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</row>
    <row r="4" spans="1:178" ht="54.75" thickBot="1">
      <c r="A4" s="23" t="s">
        <v>818</v>
      </c>
      <c r="B4" s="24" t="s">
        <v>100</v>
      </c>
      <c r="C4" s="31" t="str" cm="1">
        <f t="array" ref="C4">IFERROR("Lv. "&amp;INDEX(Opponent[Level],MATCH(1,(Opponent[Trainer]=$B$2)*(Opponent[Battle]=$B$3)*(Opponent[Pokemon]=$B$4),0)),"")</f>
        <v>Lv. 51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</row>
    <row r="5" spans="1:178">
      <c r="A5" s="87" t="s">
        <v>800</v>
      </c>
      <c r="B5" s="87"/>
      <c r="C5" s="87"/>
      <c r="D5" s="87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</row>
    <row r="6" spans="1:178" ht="15.75" thickBot="1">
      <c r="A6" s="25"/>
      <c r="B6" s="25"/>
      <c r="C6" s="25"/>
      <c r="D6" s="25"/>
      <c r="E6" s="26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</row>
    <row r="7" spans="1:178" ht="73.5" customHeight="1" thickBot="1">
      <c r="A7" s="27" t="s">
        <v>797</v>
      </c>
      <c r="B7" s="32" t="str" cm="1">
        <f t="array" ref="B7">_xlfn.LET(
        _xlpm.names, A10:A15,
        _xlpm.ratios, G10:G15,
        _xlpm.bestMoveScores, FU10:FU15,
        _xlpm.hasAbilityImmunity, CH10:CH15,
        _xlpm.hasTypeImmunity, CI10:CI15,
        _xlpm.immunityHelps, CU10:CU15,
        _xlpm.maxRatio, MAX(_xlpm.ratios),
        _xlpm.hasMaxRatio, (_xlpm.ratios=_xlpm.maxRatio),
        _xlpm.hasRelevantImmunity, (((_xlpm.hasAbilityImmunity=1)+(_xlpm.hasTypeImmunity=1))&gt;0)*(_xlpm.immunityHelps=1),
        _xlpm.maxRatioWithImmunity, _xlpm.hasMaxRatio * _xlpm.hasRelevantImmunity,
        _xlpm.anyImmunityInMaxRatio, MAX(_xlpm.maxRatioWithImmunity)&gt;0,
        _xlpm.candidateFilter, IF(_xlpm.anyImmunityInMaxRatio, _xlpm.maxRatioWithImmunity, _xlpm.hasMaxRatio),
        _xlpm.candidateScores, IF(_xlpm.candidateFilter, _xlpm.bestMoveScores, 0),
        _xlpm.maxScore, MAX(_xlpm.candidateScores),
        INDEX(_xlpm.names, MATCH(1, (_xlpm.candidateFilter)*(_xlpm.candidateScores=_xlpm.maxScore), 0))
    )</f>
        <v>Raichu</v>
      </c>
      <c r="C7" s="33" t="s">
        <v>964</v>
      </c>
      <c r="D7" s="34" t="str" cm="1">
        <f t="array" ref="D7">IF(SUMPRODUCT((A10:A15&lt;&gt;"")*1)&lt;=1, "Only Pokemon available",
_xlfn.LET(
    _xlpm.recPokemon, B7,
    _xlpm.recRow, MATCH(_xlpm.recPokemon, A10:A15, 0) + 9,
    _xlpm.recRatio, INDEX(G10:G15, _xlpm.recRow - 9),
    _xlpm.recIncoming, INDEX(FV10:FV15, _xlpm.recRow - 9),
    _xlpm.recAbility, INDEX(BB10:BB15, _xlpm.recRow - 9),
    _xlpm.hasAbilityImmunity, INDEX(CH10:CH15, _xlpm.recRow - 9),
    _xlpm.hasTypeImmunity, INDEX(CI10:CI15, _xlpm.recRow - 9),
    _xlpm.whyCode, INDEX(CL10:CL15, _xlpm.recRow - 9),
    _xlpm.immuneToType, INDEX(CT10:CT15, _xlpm.recRow - 9),
    _xlpm.abilityImmuneType, IFERROR(INDEX('Ability Rules'!C:C, MATCH(_xlpm.recAbility, 'Ability Rules'!A:A, 0)), ""),
    _xlpm.oppMove1Type, INDEX(BN10:BN15, _xlpm.recRow - 9),
    _xlpm.oppMove2Type, INDEX(BO10:BO15, _xlpm.recRow - 9),
    _xlpm.oppMove3Type, INDEX(BP10:BP15, _xlpm.recRow - 9),
    _xlpm.oppMove4Type, INDEX(BQ10:BQ15, _xlpm.recRow - 9),
    _xlpm.incomingMod1, INDEX(BD10:BD15, _xlpm.recRow - 9),
    _xlpm.incomingMod2, INDEX(BE10:BE15, _xlpm.recRow - 9),
    _xlpm.incomingMod3, INDEX(BF10:BF15, _xlpm.recRow - 9),
    _xlpm.incomingMod4, INDEX(BG10:BG15, _xlpm.recRow - 9),
    _xlpm.moveEff1, INDEX(BR10:BR15, _xlpm.recRow - 9),
    _xlpm.moveEff2, INDEX(BS10:BS15, _xlpm.recRow - 9),
    _xlpm.moveEff3, INDEX(BT10:BT15, _xlpm.recRow - 9),
    _xlpm.moveEff4, INDEX(BU10:BU15, _xlpm.recRow - 9),
    _xlpm.negatedMoveType, IF(_xlpm.incomingMod1=0, _xlpm.oppMove1Type, IF(_xlpm.incomingMod2=0, _xlpm.oppMove2Type, IF(_xlpm.incomingMod3=0, _xlpm.oppMove3Type, IF(_xlpm.incomingMod4=0, _xlpm.oppMove4Type, "")))),
    _xlpm.incomingMult, INDEX(I10:I15, _xlpm.recRow - 9),
    _xlpm.incomingMoveType, INDEX(K10:K15, _xlpm.recRow - 9),
    _xlpm.oppType1, N2,
    _xlpm.oppType2Raw, O2,
    _xlpm.oppType2, IF(OR(_xlpm.oppType2Raw="", _xlpm.oppType2Raw=0), "", _xlpm.oppType2Raw),
    _xlpm.immune1, IF(AND(_xlpm.moveEff1=0, _xlpm.oppMove1Type&lt;&gt;"", _xlpm.oppMove1Type&lt;&gt;0), _xlpm.oppMove1Type, ""),
    _xlpm.immune2, IF(AND(_xlpm.moveEff2=0, _xlpm.oppMove2Type&lt;&gt;"", _xlpm.oppMove2Type&lt;&gt;0, _xlpm.oppMove2Type&lt;&gt;_xlpm.immune1), _xlpm.oppMove2Type, ""),
    _xlpm.immune3, IF(AND(_xlpm.moveEff3=0, _xlpm.oppMove3Type&lt;&gt;"", _xlpm.oppMove3Type&lt;&gt;0, _xlpm.oppMove3Type&lt;&gt;_xlpm.immune1, _xlpm.oppMove3Type&lt;&gt;_xlpm.immune2), _xlpm.oppMove3Type, ""),
    _xlpm.immune4, IF(AND(_xlpm.moveEff4=0, _xlpm.oppMove4Type&lt;&gt;"", _xlpm.oppMove4Type&lt;&gt;0, _xlpm.oppMove4Type&lt;&gt;_xlpm.immune1, _xlpm.oppMove4Type&lt;&gt;_xlpm.immune2, _xlpm.oppMove4Type&lt;&gt;_xlpm.immune3), _xlpm.oppMove4Type, ""),
    _xlpm.immuneCount, (_xlpm.immune1&lt;&gt;"")+(_xlpm.immune2&lt;&gt;"")+(_xlpm.immune3&lt;&gt;"")+(_xlpm.immune4&lt;&gt;""),
    _xlpm.immuneList, _xlfn.TEXTJOIN(", ", TRUE, _xlpm.immune1, _xlpm.immune2, _xlpm.immune3, _xlpm.immune4),
    _xlpm.immuneTypes, IF(_xlpm.immuneCount=0, "",
        IF(_xlpm.immuneCount=1, _xlpm.immuneList,
            IF(_xlpm.immuneCount=2, SUBSTITUTE(_xlpm.immuneList, ", ", " and "),
                _xlfn.LET(_xlpm.lastComma, FIND("~", SUBSTITUTE(_xlpm.immuneList, ", ", "~", _xlpm.immuneCount-1)),
                    LEFT(_xlpm.immuneList, _xlpm.lastComma-1)&amp;" and "&amp;MID(_xlpm.immuneList, _xlpm.lastComma+2, 100))))),
    _xlpm.resist1, IF(AND(_xlpm.moveEff1&lt;1, _xlpm.moveEff1&gt;0), _xlpm.oppMove1Type, ""),
    _xlpm.resist2, IF(AND(_xlpm.moveEff2&lt;1, _xlpm.moveEff2&gt;0, _xlpm.oppMove2Type&lt;&gt;_xlpm.resist1), _xlpm.oppMove2Type, ""),
    _xlpm.resist3, IF(AND(_xlpm.moveEff3&lt;1, _xlpm.moveEff3&gt;0, _xlpm.oppMove3Type&lt;&gt;_xlpm.resist1, _xlpm.oppMove3Type&lt;&gt;_xlpm.resist2), _xlpm.oppMove3Type, ""),
    _xlpm.resist4, IF(AND(_xlpm.moveEff4&lt;1, _xlpm.moveEff4&gt;0, _xlpm.oppMove4Type&lt;&gt;_xlpm.resist1, _xlpm.oppMove4Type&lt;&gt;_xlpm.resist2, _xlpm.oppMove4Type&lt;&gt;_xlpm.resist3), _xlpm.oppMove4Type, ""),
    _xlpm.resistCount, (_xlpm.resist1&lt;&gt;"")+(_xlpm.resist2&lt;&gt;"")+(_xlpm.resist3&lt;&gt;"")+(_xlpm.resist4&lt;&gt;""),
    _xlpm.resistList, _xlfn.TEXTJOIN(", ", TRUE, _xlpm.resist1, _xlpm.resist2, _xlpm.resist3, _xlpm.resist4),
    _xlpm.resistTypes, IF(_xlpm.resistCount=0, "",
        IF(_xlpm.resistCount=1, _xlpm.resistList,
            IF(_xlpm.resistCount=2, SUBSTITUTE(_xlpm.resistList, ", ", " and "),
                _xlfn.LET(_xlpm.lastComma, FIND("~", SUBSTITUTE(_xlpm.resistList, ", ", "~", _xlpm.resistCount-1)),
                    LEFT(_xlpm.resistList, _xlpm.lastComma-1)&amp;" and "&amp;MID(_xlpm.resistList, _xlpm.lastComma+2, 100))))),
    _xlpm.hasAnyImmune, _xlpm.immuneCount&gt;0,
    _xlpm.hasAnyResist, _xlpm.resistCount&gt;0,
    _xlpm.durabilityReason, IF(AND(_xlpm.hasAnyImmune, _xlpm.hasAnyResist),
        "Immune to "&amp;_xlpm.immuneTypes&amp;"; resists "&amp;_xlpm.resistTypes&amp;" attacks",
        IF(_xlpm.hasAnyImmune, "Immune to "&amp;_xlpm.immuneTypes&amp;" attacks",
            IF(_xlpm.hasAnyResist, "Resists "&amp;_xlpm.resistTypes&amp;" attacks",
                "Best durability against this opponent"))),
    IF(_xlpm.recIncoming=0,
        IF(_xlpm.hasAbilityImmunity = 1, _xlpm.recAbility &amp; " grants full immunity", "Immune to all opponent's attacks"),
        IF(_xlpm.whyCode = 0, "Overwhelming offensive advantage",
            IF(_xlpm.whyCode = 1, _xlpm.recAbility &amp; " negates opponent's " &amp; _xlpm.negatedMoveType &amp; " attacks",
                IF(_xlpm.whyCode = 2, "Immune to " &amp; _xlpm.immuneToType &amp; "-type attacks",
                    IF(_xlpm.whyCode = 3, "Best overall matchup",
                        IF(_xlpm.whyCode = 4, "Strongest attack against this opponent",
                            IF(_xlpm.whyCode = 5, _xlpm.durabilityReason,
                                IF(_xlpm.whyCode = 6, "Best balance of damage and durability",
                                    "Highest overall matchup rating"))))))))
))</f>
        <v>Best balance of damage and durability</v>
      </c>
      <c r="E7" s="26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</row>
    <row r="8" spans="1:178" ht="14.25" customHeight="1" thickBot="1">
      <c r="A8" s="26"/>
      <c r="B8" s="26"/>
      <c r="C8" s="26"/>
      <c r="D8" s="28"/>
      <c r="E8" s="28"/>
      <c r="F8" s="2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</row>
    <row r="9" spans="1:178" ht="30" customHeight="1">
      <c r="A9" s="35" t="s">
        <v>65</v>
      </c>
      <c r="B9" s="36" t="s">
        <v>66</v>
      </c>
      <c r="C9" s="37" t="s">
        <v>67</v>
      </c>
      <c r="D9" s="37" t="s">
        <v>68</v>
      </c>
      <c r="E9" s="37" t="s">
        <v>110</v>
      </c>
      <c r="F9" s="37" t="s">
        <v>661</v>
      </c>
      <c r="G9" s="36" t="s">
        <v>662</v>
      </c>
      <c r="H9" s="37" t="s">
        <v>95</v>
      </c>
      <c r="I9" s="37" t="s">
        <v>1019</v>
      </c>
      <c r="J9" s="38" t="s">
        <v>69</v>
      </c>
      <c r="K9" s="39" t="s">
        <v>817</v>
      </c>
      <c r="L9" s="39" t="s">
        <v>822</v>
      </c>
      <c r="M9" s="39" t="s">
        <v>823</v>
      </c>
      <c r="N9" s="40" t="s">
        <v>11</v>
      </c>
      <c r="O9" s="40" t="s">
        <v>12</v>
      </c>
      <c r="P9" s="40" t="s">
        <v>48</v>
      </c>
      <c r="Q9" s="40" t="s">
        <v>27</v>
      </c>
      <c r="R9" s="40" t="s">
        <v>79</v>
      </c>
      <c r="S9" s="40" t="s">
        <v>87</v>
      </c>
      <c r="T9" s="40" t="s">
        <v>88</v>
      </c>
      <c r="U9" s="40" t="s">
        <v>80</v>
      </c>
      <c r="V9" s="40" t="s">
        <v>13</v>
      </c>
      <c r="W9" s="40" t="s">
        <v>14</v>
      </c>
      <c r="X9" s="40" t="s">
        <v>49</v>
      </c>
      <c r="Y9" s="40" t="s">
        <v>28</v>
      </c>
      <c r="Z9" s="40" t="s">
        <v>81</v>
      </c>
      <c r="AA9" s="40" t="s">
        <v>89</v>
      </c>
      <c r="AB9" s="40" t="s">
        <v>90</v>
      </c>
      <c r="AC9" s="40" t="s">
        <v>82</v>
      </c>
      <c r="AD9" s="40" t="s">
        <v>15</v>
      </c>
      <c r="AE9" s="40" t="s">
        <v>16</v>
      </c>
      <c r="AF9" s="40" t="s">
        <v>50</v>
      </c>
      <c r="AG9" s="40" t="s">
        <v>29</v>
      </c>
      <c r="AH9" s="40" t="s">
        <v>83</v>
      </c>
      <c r="AI9" s="40" t="s">
        <v>91</v>
      </c>
      <c r="AJ9" s="40" t="s">
        <v>92</v>
      </c>
      <c r="AK9" s="40" t="s">
        <v>84</v>
      </c>
      <c r="AL9" s="40" t="s">
        <v>17</v>
      </c>
      <c r="AM9" s="40" t="s">
        <v>18</v>
      </c>
      <c r="AN9" s="40" t="s">
        <v>51</v>
      </c>
      <c r="AO9" s="40" t="s">
        <v>30</v>
      </c>
      <c r="AP9" s="40" t="s">
        <v>85</v>
      </c>
      <c r="AQ9" s="40" t="s">
        <v>93</v>
      </c>
      <c r="AR9" s="40" t="s">
        <v>94</v>
      </c>
      <c r="AS9" s="40" t="s">
        <v>86</v>
      </c>
      <c r="AT9" s="40" t="s">
        <v>822</v>
      </c>
      <c r="AU9" s="40" t="s">
        <v>824</v>
      </c>
      <c r="AV9" s="40" t="s">
        <v>825</v>
      </c>
      <c r="AW9" s="40" t="s">
        <v>826</v>
      </c>
      <c r="AX9" s="40" t="s">
        <v>827</v>
      </c>
      <c r="AY9" s="40" t="s">
        <v>1047</v>
      </c>
      <c r="AZ9" s="40" t="s">
        <v>1060</v>
      </c>
      <c r="BA9" s="40" t="s">
        <v>1061</v>
      </c>
      <c r="BB9" s="40" t="s">
        <v>927</v>
      </c>
      <c r="BC9" s="40" t="s">
        <v>928</v>
      </c>
      <c r="BD9" s="40" t="s">
        <v>929</v>
      </c>
      <c r="BE9" s="40" t="s">
        <v>930</v>
      </c>
      <c r="BF9" s="40" t="s">
        <v>931</v>
      </c>
      <c r="BG9" s="40" t="s">
        <v>932</v>
      </c>
      <c r="BH9" s="40" t="s">
        <v>933</v>
      </c>
      <c r="BI9" s="40" t="s">
        <v>934</v>
      </c>
      <c r="BJ9" s="40" t="s">
        <v>935</v>
      </c>
      <c r="BK9" s="40" t="s">
        <v>936</v>
      </c>
      <c r="BL9" s="40" t="s">
        <v>937</v>
      </c>
      <c r="BM9" s="40" t="s">
        <v>938</v>
      </c>
      <c r="BN9" s="40" t="s">
        <v>939</v>
      </c>
      <c r="BO9" s="40" t="s">
        <v>940</v>
      </c>
      <c r="BP9" s="40" t="s">
        <v>941</v>
      </c>
      <c r="BQ9" s="40" t="s">
        <v>942</v>
      </c>
      <c r="BR9" s="40" t="s">
        <v>943</v>
      </c>
      <c r="BS9" s="40" t="s">
        <v>944</v>
      </c>
      <c r="BT9" s="40" t="s">
        <v>945</v>
      </c>
      <c r="BU9" s="40" t="s">
        <v>946</v>
      </c>
      <c r="BV9" s="40" t="s">
        <v>947</v>
      </c>
      <c r="BW9" s="40" t="s">
        <v>948</v>
      </c>
      <c r="BX9" s="40" t="s">
        <v>949</v>
      </c>
      <c r="BY9" s="40" t="s">
        <v>950</v>
      </c>
      <c r="BZ9" s="40" t="s">
        <v>951</v>
      </c>
      <c r="CA9" s="40" t="s">
        <v>952</v>
      </c>
      <c r="CB9" s="40" t="s">
        <v>953</v>
      </c>
      <c r="CC9" s="40" t="s">
        <v>954</v>
      </c>
      <c r="CD9" s="40" t="s">
        <v>955</v>
      </c>
      <c r="CE9" s="40" t="s">
        <v>956</v>
      </c>
      <c r="CF9" s="40" t="s">
        <v>957</v>
      </c>
      <c r="CG9" s="40" t="s">
        <v>958</v>
      </c>
      <c r="CH9" s="40" t="s">
        <v>959</v>
      </c>
      <c r="CI9" s="40" t="s">
        <v>960</v>
      </c>
      <c r="CJ9" s="40" t="s">
        <v>961</v>
      </c>
      <c r="CK9" s="40" t="s">
        <v>962</v>
      </c>
      <c r="CL9" s="40" t="s">
        <v>963</v>
      </c>
      <c r="CM9" s="40" t="s">
        <v>976</v>
      </c>
      <c r="CN9" s="40" t="s">
        <v>977</v>
      </c>
      <c r="CO9" s="40" t="s">
        <v>979</v>
      </c>
      <c r="CP9" s="40" t="s">
        <v>980</v>
      </c>
      <c r="CQ9" s="41" t="s">
        <v>1006</v>
      </c>
      <c r="CR9" s="41" t="s">
        <v>1007</v>
      </c>
      <c r="CS9" s="41" t="s">
        <v>1008</v>
      </c>
      <c r="CT9" s="42" t="s">
        <v>1009</v>
      </c>
      <c r="CU9" s="42" t="s">
        <v>1010</v>
      </c>
      <c r="CV9" s="42" t="s">
        <v>1011</v>
      </c>
      <c r="CW9" s="42" t="s">
        <v>1012</v>
      </c>
      <c r="CX9" s="42" t="s">
        <v>1013</v>
      </c>
      <c r="CY9" s="42" t="s">
        <v>1014</v>
      </c>
      <c r="CZ9" s="42" t="s">
        <v>1015</v>
      </c>
      <c r="DA9" s="42" t="s">
        <v>1016</v>
      </c>
      <c r="DB9" s="42" t="s">
        <v>1017</v>
      </c>
      <c r="DC9" s="41" t="s">
        <v>1062</v>
      </c>
      <c r="DD9" s="41" t="s">
        <v>1063</v>
      </c>
      <c r="DE9" s="41" t="s">
        <v>1064</v>
      </c>
      <c r="DF9" s="41" t="s">
        <v>1065</v>
      </c>
      <c r="DG9" s="41" t="s">
        <v>1066</v>
      </c>
      <c r="DH9" s="41" t="s">
        <v>1067</v>
      </c>
      <c r="DI9" s="41" t="s">
        <v>1068</v>
      </c>
      <c r="DJ9" s="41" t="s">
        <v>1069</v>
      </c>
      <c r="DK9" s="41" t="s">
        <v>1219</v>
      </c>
      <c r="DL9" s="41" t="s">
        <v>1220</v>
      </c>
      <c r="DM9" s="41" t="s">
        <v>1221</v>
      </c>
      <c r="DN9" s="41" t="s">
        <v>1222</v>
      </c>
      <c r="DO9" s="41" t="s">
        <v>1223</v>
      </c>
      <c r="DP9" s="41" t="s">
        <v>1224</v>
      </c>
      <c r="DQ9" s="41" t="s">
        <v>1225</v>
      </c>
      <c r="DR9" s="41" t="s">
        <v>1226</v>
      </c>
      <c r="DS9" s="41" t="s">
        <v>1059</v>
      </c>
      <c r="DT9" s="41" t="s">
        <v>1231</v>
      </c>
      <c r="DU9" s="41" t="s">
        <v>1232</v>
      </c>
      <c r="DV9" s="41" t="s">
        <v>1233</v>
      </c>
      <c r="DW9" s="41" t="s">
        <v>1234</v>
      </c>
      <c r="DX9" s="41" t="s">
        <v>1235</v>
      </c>
      <c r="DY9" s="41" t="s">
        <v>1236</v>
      </c>
      <c r="DZ9" s="41" t="s">
        <v>1237</v>
      </c>
      <c r="EA9" s="41" t="s">
        <v>1238</v>
      </c>
      <c r="EB9" s="41" t="s">
        <v>1239</v>
      </c>
      <c r="EC9" s="41" t="s">
        <v>1240</v>
      </c>
      <c r="ED9" s="41" t="s">
        <v>1241</v>
      </c>
      <c r="EE9" s="41" t="s">
        <v>1251</v>
      </c>
      <c r="EF9" s="41" t="s">
        <v>1252</v>
      </c>
      <c r="EG9" s="41" t="s">
        <v>1253</v>
      </c>
      <c r="EH9" s="41" t="s">
        <v>1254</v>
      </c>
      <c r="EI9" s="41" t="s">
        <v>1255</v>
      </c>
      <c r="EJ9" s="41" t="s">
        <v>1256</v>
      </c>
      <c r="EK9" s="41" t="s">
        <v>1257</v>
      </c>
      <c r="EL9" s="41" t="s">
        <v>1258</v>
      </c>
      <c r="EM9" s="41" t="s">
        <v>1259</v>
      </c>
      <c r="EN9" s="41" t="s">
        <v>1260</v>
      </c>
      <c r="EO9" s="41" t="s">
        <v>1261</v>
      </c>
      <c r="EP9" s="41" t="s">
        <v>1262</v>
      </c>
      <c r="EQ9" s="41" t="s">
        <v>1263</v>
      </c>
      <c r="ER9" s="41" t="s">
        <v>1265</v>
      </c>
      <c r="ES9" s="41" t="s">
        <v>1267</v>
      </c>
      <c r="ET9" s="41" t="s">
        <v>1286</v>
      </c>
      <c r="EU9" s="41" t="s">
        <v>1307</v>
      </c>
      <c r="EV9" s="41" t="s">
        <v>1308</v>
      </c>
      <c r="EW9" s="41" t="s">
        <v>1309</v>
      </c>
      <c r="EX9" s="41" t="s">
        <v>1310</v>
      </c>
      <c r="EY9" s="41" t="s">
        <v>1311</v>
      </c>
      <c r="EZ9" s="41" t="s">
        <v>1312</v>
      </c>
      <c r="FA9" s="41" t="s">
        <v>1313</v>
      </c>
      <c r="FB9" s="41" t="s">
        <v>1314</v>
      </c>
      <c r="FC9" s="41" t="s">
        <v>1315</v>
      </c>
      <c r="FD9" s="41" t="s">
        <v>1316</v>
      </c>
      <c r="FE9" s="41" t="s">
        <v>1317</v>
      </c>
      <c r="FF9" s="41" t="s">
        <v>1318</v>
      </c>
      <c r="FG9" s="41" t="s">
        <v>1319</v>
      </c>
      <c r="FH9" s="41" t="s">
        <v>1320</v>
      </c>
      <c r="FI9" s="41" t="s">
        <v>1321</v>
      </c>
      <c r="FJ9" s="41" t="s">
        <v>1322</v>
      </c>
      <c r="FK9" s="41" t="s">
        <v>1328</v>
      </c>
      <c r="FL9" s="41" t="s">
        <v>1329</v>
      </c>
      <c r="FM9" s="41" t="s">
        <v>1330</v>
      </c>
      <c r="FN9" s="41" t="s">
        <v>1331</v>
      </c>
      <c r="FO9" s="42" t="s">
        <v>1356</v>
      </c>
      <c r="FP9" s="42" t="s">
        <v>1357</v>
      </c>
      <c r="FQ9" s="42" t="s">
        <v>1358</v>
      </c>
      <c r="FR9" s="42" t="s">
        <v>1359</v>
      </c>
      <c r="FS9" s="42" t="s">
        <v>1360</v>
      </c>
      <c r="FT9" s="42" t="s">
        <v>1361</v>
      </c>
      <c r="FU9" s="42" t="s">
        <v>1362</v>
      </c>
      <c r="FV9" s="42" t="s">
        <v>1363</v>
      </c>
    </row>
    <row r="10" spans="1:178" ht="50.1" customHeight="1">
      <c r="A10" s="74" t="str">
        <f>IF('Team Data'!A2="","",'Team Data'!A2)</f>
        <v>Chandelure</v>
      </c>
      <c r="B10" s="75" t="str" cm="1">
        <f t="array" ref="B10">IFERROR(INDEX(N10:AL10,1,MATCH(FU10,CHOOSE({1,2,3,4},IF(U10="",0,U10),IF(AC10="",0,AC10),IF(AK10="",0,AK10),IF(AS10="",0,AS10)),0)*8-7),"")</f>
        <v>Heat Wave</v>
      </c>
      <c r="C10" s="75" t="str" cm="1">
        <f t="array" ref="C10">IFERROR(INDEX(N10:AM10,1,MATCH(FU10,CHOOSE({1,2,3,4},IF(U10="",0,U10),IF(AC10="",0,AC10),IF(AK10="",0,AK10),IF(AS10="",0,AS10)),0)*8-6),"")</f>
        <v>Fire</v>
      </c>
      <c r="D10" s="75" cm="1">
        <f t="array" ref="D10">IFERROR(INDEX(N10:AS10,1,MATCH(FU10,CHOOSE({1,2,3,4},IF(U10="",0,U10),IF(AC10="",0,AC10),IF(AK10="",0,AK10),IF(AS10="",0,AS10)),0)*8-3),"")</f>
        <v>1</v>
      </c>
      <c r="E10" s="76" t="str">
        <f t="shared" ref="E10:E15" si="0">IF(A10="","",IF(FU10="","",TEXT(FU10,"0.00")&amp;IF(FS10,"*","")))</f>
        <v>323.44*</v>
      </c>
      <c r="F10" s="77" t="str">
        <f t="shared" ref="F10:F15" si="1">IF(A10="","",IF(FV10="","",TEXT(FV10,"0.00")&amp;IF(FT10,"*","")))</f>
        <v>304.99</v>
      </c>
      <c r="G10" s="78">
        <f t="shared" ref="G10:G15" si="2">IF(A10="","",MIN(ROUND(FU10/MAX(FV10,0.001),2),999))</f>
        <v>1.06</v>
      </c>
      <c r="H10" s="75" t="str" cm="1">
        <f t="array" ref="H10">IF($A10="","",IF(EC10&lt;&gt;"",EC10,_xlfn.LET(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DP10,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DQ10,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DR10,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DS10,
    _xlpm.teamType1, INDEX(TeamData[Type1],MATCH(A10,TeamData[Pokemon],0)),
    _xlpm.teamType2, INDEX(TeamData[Type2],MATCH(A10,TeamData[Pokemon],0)),
    _xlpm.teamDEF, INDEX(TeamData[DEF],MATCH(A10,TeamData[Pokemon],0)),
    _xlpm.teamSPD, INDEX(TeamData[SPD],MATCH(A10,TeamData[Pokemon],0)),
    _xlpm.teamATK, INDEX(TeamData[ATK],MATCH(A10,TeamData[Pokemon],0)),
    _xlpm.oppATK, $AU10,
    _xlpm.oppDEF, $AV10,
    _xlpm.oppSPA, $AW10,
    _xlpm.oppType1, $N$2,
    _xlpm.oppType2, $O$2,
    _xlpm.intimidateMod, IF($BB10="Intimidate",0.667,1),
    _xlpm.typeEff1, IFERROR(INDEX(TypeChart[],MATCH(_xlpm.move1Type,TypeChart[AttackType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→],0),MATCH(_xlpm.teamType2,TypeChart[#Headers],0))),0),
    _xlpm.typeEff2, IFERROR(INDEX(TypeChart[],MATCH(_xlpm.move2Type,TypeChart[AttackType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→],0),MATCH(_xlpm.teamType2,TypeChart[#Headers],0))),0),
    _xlpm.typeEff3, IFERROR(INDEX(TypeChart[],MATCH(_xlpm.move3Type,TypeChart[AttackType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→],0),MATCH(_xlpm.teamType2,TypeChart[#Headers],0))),0),
    _xlpm.typeEff4, IFERROR(INDEX(TypeChart[],MATCH(_xlpm.move4Type,TypeChart[AttackType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→],0),MATCH(_xlpm.teamType2,TypeChart[#Headers],0))),0),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IF(_xlpm.move1Cat="Special", _xlpm.teamSPD, 1))),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IF(_xlpm.move2Cat="Special", _xlpm.teamSPD, 1))),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IF(_xlpm.move3Cat="Special", _xlpm.teamSPD, 1))),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IF(_xlpm.move4Cat="Special", _xlpm.teamSPD, 1))),
    _xlpm.score1, IF(OR(_xlpm.move1Power="Varies", _xlpm.move1Cat="Status", _xlpm.move1DmgMethod="Fixed", _xlpm.move1DmgMethod="OHKO"), 0, IFERROR(_xlpm.move1Power * _xlpm.hits1 * _xlpm.typeEff1 * _xlpm.stab1 * $BZ10 * _xlpm.atkStat1 / _xlpm.defStat1, 0)),
    _xlpm.score2, IF(OR(_xlpm.move2Power="Varies", _xlpm.move2Cat="Status", _xlpm.move2DmgMethod="Fixed", _xlpm.move2DmgMethod="OHKO"), 0, IFERROR(_xlpm.move2Power * _xlpm.hits2 * _xlpm.typeEff2 * _xlpm.stab2 * $CA10 * _xlpm.atkStat2 / _xlpm.defStat2, 0)),
    _xlpm.score3, IF(OR(_xlpm.move3Power="Varies", _xlpm.move3Cat="Status", _xlpm.move3DmgMethod="Fixed", _xlpm.move3DmgMethod="OHKO"), 0, IFERROR(_xlpm.move3Power * _xlpm.hits3 * _xlpm.typeEff3 * _xlpm.stab3 * $CB10 * _xlpm.atkStat3 / _xlpm.defStat3, 0)),
    _xlpm.score4, IF(OR(_xlpm.move4Power="Varies", _xlpm.move4Cat="Status", _xlpm.move4DmgMethod="Fixed", _xlpm.move4DmgMethod="OHKO"), 0, IFERROR(_xlpm.move4Power * _xlpm.hits4 * _xlpm.typeEff4 * _xlpm.stab4 * $CC10 * _xlpm.atkStat4 / _xlpm.defStat4, 0)),
    _xlpm.maxScore, MAX(_xlpm.score1*$EN10, _xlpm.score2*$EO10, _xlpm.score3*$EP10, _xlpm.score4*$EQ10),
    _xlpm.defaultMove, IF(AND(_xlpm.move1&lt;&gt;"",OR(_xlpm.move1Cat="Physical",_xlpm.move1Cat="Special")), _xlpm.move1 &amp; " (" &amp; _xlpm.move1Cat &amp; ")",
                 IF(AND(_xlpm.move2&lt;&gt;"",OR(_xlpm.move2Cat="Physical",_xlpm.move2Cat="Special")), _xlpm.move2 &amp; " (" &amp; _xlpm.move2Cat &amp; ")",
                 IF(AND(_xlpm.move3&lt;&gt;"",OR(_xlpm.move3Cat="Physical",_xlpm.move3Cat="Special")), _xlpm.move3 &amp; " (" &amp; _xlpm.move3Cat &amp; ")",
                 IF(AND(_xlpm.move4&lt;&gt;"",OR(_xlpm.move4Cat="Physical",_xlpm.move4Cat="Special")), _xlpm.move4 &amp; " (" &amp; _xlpm.move4Cat &amp; ")", "")))),
    IF(_xlpm.maxScore=0, _xlpm.defaultMove,
        IF(AND($EN10,_xlpm.score1*$EN10=_xlpm.maxScore), _xlpm.move1 &amp; " (" &amp; _xlpm.move1Cat &amp; ")",
        IF(AND($EO10,_xlpm.score2*$EO10=_xlpm.maxScore), _xlpm.move2 &amp; " (" &amp; _xlpm.move2Cat &amp; ")",
        IF(AND($EP10,_xlpm.score3*$EP10=_xlpm.maxScore), _xlpm.move3 &amp; " (" &amp; _xlpm.move3Cat &amp; ")",
        IF(AND($EQ10,_xlpm.score4*$EQ10=_xlpm.maxScore), _xlpm.move4 &amp; " (" &amp; _xlpm.move4Cat &amp; ")", "")))))
)))</f>
        <v>Liquidation (Physical)</v>
      </c>
      <c r="I10" s="75">
        <f>IF(A10="","",IF(DW10,0,INDEX(TypeChart[],MATCH(K10,TypeChart[AttackType ↓ / DefendingType →],0),MATCH(INDEX(TeamData[Type1],MATCH(A10,TeamData[Pokemon],0)),TypeChart[#Headers],0))*IF(INDEX(TeamData[Type2],MATCH(A10,TeamData[Pokemon],0))="",1,INDEX(TypeChart[],MATCH(K10,TypeChart[AttackType ↓ / DefendingType →],0),MATCH(INDEX(TeamData[Type2],MATCH(A10,TeamData[Pokemon],0)),TypeChart[#Headers],0)))))</f>
        <v>2</v>
      </c>
      <c r="J10" s="85" t="str">
        <f t="shared" ref="J10:J15" si="3">IF(A10="","",_xlfn.LET(
        _xlpm.immuneNote, IF(DW10,"Immune to opponent's attacks",""),
        _xlpm.dmaxNote, DG10,
        _xlpm.ohkoNote, DH10,
        _xlpm.incomingOHKONote, ES10,
        _xlpm.priorityNote, DV10,
        _xlpm.contactRiskNote, ER10,
        _xlpm.abilityTacticalNote, ET10,
        _xlpm.mechanicsNote, DJ10,
        _xlpm.condBoostedNote, FJ10,
        _xlpm.bodyPressNote, FN10,
        _xlpm.otherNotes, TRIM(_xlfn.TEXTJOIN("; ", TRUE, _xlpm.immuneNote, _xlpm.ohkoNote, _xlpm.incomingOHKONote, _xlpm.priorityNote, _xlpm.contactRiskNote, _xlpm.abilityTacticalNote, _xlpm.mechanicsNote, _xlpm.condBoostedNote, _xlpm.bodyPressNote)),
        IF(AND(_xlpm.dmaxNote&lt;&gt;"", _xlpm.otherNotes&lt;&gt;""), _xlpm.dmaxNote&amp;"; "&amp;_xlpm.otherNotes, IF(_xlpm.dmaxNote&lt;&gt;"", _xlpm.dmaxNote, _xlpm.otherNotes))
    ))</f>
        <v>Possible OHKO; Status-boosted Hex possible</v>
      </c>
      <c r="K10" s="30" t="str" cm="1">
        <f t="array" ref="K10">IF(A10="","",_xlfn.LET(
        _xlpm.moveName, LEFT(H10,IFERROR(FIND(" (",H10)-1,LEN(H10))),
        _xlpm.oppMove1, INDEX(Opponent[Move1],MATCH(1,(Opponent[Pokemon]=$B$4)*(Opponent[Battle]=$B$3),0)),
        _xlpm.oppMove2, INDEX(Opponent[Move2],MATCH(1,(Opponent[Pokemon]=$B$4)*(Opponent[Battle]=$B$3),0)),
        _xlpm.oppMove3, INDEX(Opponent[Move3],MATCH(1,(Opponent[Pokemon]=$B$4)*(Opponent[Battle]=$B$3),0)),
        _xlpm.oppMove4, INDEX(Opponent[Move4],MATCH(1,(Opponent[Pokemon]=$B$4)*(Opponent[Battle]=$B$3),0)),
        IF(_xlpm.moveName=_xlpm.oppMove1, INDEX(Opponent[Move1Type],MATCH(1,(Opponent[Pokemon]=$B$4)*(Opponent[Battle]=$B$3),0)),
        IF(_xlpm.moveName=_xlpm.oppMove2, INDEX(Opponent[Move2Type],MATCH(1,(Opponent[Pokemon]=$B$4)*(Opponent[Battle]=$B$3),0)),
        IF(_xlpm.moveName=_xlpm.oppMove3, INDEX(Opponent[Move3Type],MATCH(1,(Opponent[Pokemon]=$B$4)*(Opponent[Battle]=$B$3),0)),
        IF(_xlpm.moveName=_xlpm.oppMove4, INDEX(Opponent[Move4Type],MATCH(1,(Opponent[Pokemon]=$B$4)*(Opponent[Battle]=$B$3),0)),
        ""))))
    ))</f>
        <v>Water</v>
      </c>
      <c r="L10" s="30"/>
      <c r="M10" s="30"/>
      <c r="N10" s="30" t="str">
        <f>_xlfn.XLOOKUP($A10,TeamData[Pokemon],TeamData[Move1])</f>
        <v>Shadow Ball</v>
      </c>
      <c r="O10" s="30" t="str">
        <f>_xlfn.XLOOKUP($A10,TeamData[Pokemon],TeamData[Move1Type])</f>
        <v>Ghost</v>
      </c>
      <c r="P10" s="30">
        <f>_xlfn.XLOOKUP($A10,TeamData[Pokemon],TeamData[Move1Power])</f>
        <v>80</v>
      </c>
      <c r="Q10" s="30" t="str">
        <f>_xlfn.XLOOKUP($A10,TeamData[Pokemon],TeamData[Move1Category])</f>
        <v>Special</v>
      </c>
      <c r="R10" s="30">
        <f>INDEX(TypeChart[],MATCH(O10,TypeChart[AttackType ↓ / DefendingType →],0),MATCH($N$2,TypeChart[#Headers],0))
*
IF(OR($O$2="",$O$2=0),1,
INDEX(TypeChart[],MATCH(O10,TypeChart[AttackType ↓ / DefendingType →],0),MATCH($O$2,TypeChart[#Headers],0)))</f>
        <v>1</v>
      </c>
      <c r="S10" s="30">
        <f>IF(OR(O10=INDEX(TeamData[Type1],MATCH(A10,TeamData[Pokemon],0)),O10=INDEX(TeamData[Type2],MATCH(A10,TeamData[Pokemon],0))),$BH10,1)</f>
        <v>1.5</v>
      </c>
      <c r="T10" s="30">
        <f t="shared" ref="T10" si="4">R10*S10</f>
        <v>1.5</v>
      </c>
      <c r="U10" s="30" cm="1">
        <f t="array" ref="U10">_xlfn.LET(
    _xlpm.dmgMethod, DL10,
    _xlpm.movePower, P10,
    _xlpm.moveCategory, Q10,
    _xlpm.moveType, O10,
    _xlpm.moveHits, IFERROR(VLOOKUP(N10,MoveData[],6,FALSE),1),
    _xlpm.effectiveness, R10,
    _xlpm.stabMod, S10,
    _xlpm.techMod, $BJ10,
    _xlpm.outMod, $CD10,
    _xlpm.atkMod, $BI10,
    _xlpm.teamATK, _xlfn.XLOOKUP($A10,TeamData[Pokemon],TeamData[ATK]),
    _xlpm.teamSPA, _xlfn.XLOOKUP($A10,TeamData[Pokemon],TeamData[SPA]),
    _xlpm.teamDEF, _xlfn.XLOOKUP($A10,TeamData[Pokemon],TeamData[DEF]),
    _xlpm.oppATK, $AU10,
    _xlpm.oppDEF, $AV10,
    _xlpm.oppSPD, $AX10,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226.97806589112867</v>
      </c>
      <c r="V10" s="30" t="str">
        <f>_xlfn.XLOOKUP($A10,TeamData[Pokemon],TeamData[Move2])</f>
        <v>Hex</v>
      </c>
      <c r="W10" s="30" t="str">
        <f>_xlfn.XLOOKUP($A10,TeamData[Pokemon],TeamData[Move2Type])</f>
        <v>Ghost</v>
      </c>
      <c r="X10" s="30">
        <f>_xlfn.XLOOKUP($A10,TeamData[Pokemon],TeamData[Move2Power])</f>
        <v>65</v>
      </c>
      <c r="Y10" s="30" t="str">
        <f>_xlfn.XLOOKUP($A10,TeamData[Pokemon],TeamData[Move2Category])</f>
        <v>Special</v>
      </c>
      <c r="Z10" s="30">
        <f>INDEX(TypeChart[],MATCH(W10,TypeChart[AttackType ↓ / DefendingType →],0),MATCH($N$2,TypeChart[#Headers],0))*IF(OR($O$2="",$O$2=0),1,INDEX(TypeChart[],MATCH(W10,TypeChart[AttackType ↓ / DefendingType →],0),MATCH($O$2,TypeChart[#Headers],0)))</f>
        <v>1</v>
      </c>
      <c r="AA10" s="30">
        <f>IF(OR(W10=INDEX(TeamData[Type1],MATCH(A10,TeamData[Pokemon],0)),W10=INDEX(TeamData[Type2],MATCH(A10,TeamData[Pokemon],0))),$BH10,1)</f>
        <v>1.5</v>
      </c>
      <c r="AB10" s="30">
        <f t="shared" ref="AB10" si="5">Z10*AA10</f>
        <v>1.5</v>
      </c>
      <c r="AC10" s="30" cm="1">
        <f t="array" ref="AC10">_xlfn.LET(
    _xlpm.dmgMethod, DM10,
    _xlpm.movePower, X10,
    _xlpm.moveCategory, Y10,
    _xlpm.moveType, W10,
    _xlpm.moveHits, IFERROR(VLOOKUP(V10,MoveData[],6,FALSE),1),
    _xlpm.effectiveness, Z10,
    _xlpm.stabMod, AA10,
    _xlpm.techMod, $BK10,
    _xlpm.outMod, $CE10,
    _xlpm.atkMod, $BI10,
    _xlpm.teamATK, _xlfn.XLOOKUP($A10,TeamData[Pokemon],TeamData[ATK]),
    _xlpm.teamSPA, _xlfn.XLOOKUP($A10,TeamData[Pokemon],TeamData[SPA]),
    _xlpm.teamDEF, _xlfn.XLOOKUP($A10,TeamData[Pokemon],TeamData[DEF]),
    _xlpm.oppATK, $AU10,
    _xlpm.oppDEF, $AV10,
    _xlpm.oppSPD, $AX10,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184.41967853654205</v>
      </c>
      <c r="AD10" s="30" t="str">
        <f>_xlfn.XLOOKUP($A10,TeamData[Pokemon],TeamData[Move3])</f>
        <v>Will-O-Wisp</v>
      </c>
      <c r="AE10" s="30" t="str">
        <f>_xlfn.XLOOKUP($A10,TeamData[Pokemon],TeamData[Move3Type])</f>
        <v>Fire</v>
      </c>
      <c r="AF10" s="30">
        <f>_xlfn.XLOOKUP($A10,TeamData[Pokemon],TeamData[Move3Power])</f>
        <v>0</v>
      </c>
      <c r="AG10" s="30" t="str">
        <f>_xlfn.XLOOKUP($A10,TeamData[Pokemon],TeamData[Move3Category])</f>
        <v>Status</v>
      </c>
      <c r="AH10" s="30">
        <f>INDEX(TypeChart[],MATCH(AE10,TypeChart[AttackType ↓ / DefendingType →],0),MATCH($N$2,TypeChart[#Headers],0))*IF(OR($O$2="",$O$2=0),1,INDEX(TypeChart[],MATCH(AE10,TypeChart[AttackType ↓ / DefendingType →],0),MATCH($O$2,TypeChart[#Headers],0)))</f>
        <v>1</v>
      </c>
      <c r="AI10" s="30">
        <f>IF(OR(AE10=INDEX(TeamData[Type1],MATCH(A10,TeamData[Pokemon],0)),AE10=INDEX(TeamData[Type2],MATCH(A10,TeamData[Pokemon],0))),$BH10,1)</f>
        <v>1.5</v>
      </c>
      <c r="AJ10" s="30">
        <f t="shared" ref="AJ10" si="6">AH10*AI10</f>
        <v>1.5</v>
      </c>
      <c r="AK10" s="30" cm="1">
        <f t="array" ref="AK10">_xlfn.LET(
    _xlpm.dmgMethod, DN10,
    _xlpm.movePower, AF10,
    _xlpm.moveCategory, AG10,
    _xlpm.moveType, AE10,
    _xlpm.moveHits, IFERROR(VLOOKUP(AD10,MoveData[],6,FALSE),1),
    _xlpm.effectiveness, AH10,
    _xlpm.stabMod, AI10,
    _xlpm.techMod, $BL10,
    _xlpm.outMod, $CF10,
    _xlpm.atkMod, $BI10,
    _xlpm.teamATK, _xlfn.XLOOKUP($A10,TeamData[Pokemon],TeamData[ATK]),
    _xlpm.teamSPA, _xlfn.XLOOKUP($A10,TeamData[Pokemon],TeamData[SPA]),
    _xlpm.teamDEF, _xlfn.XLOOKUP($A10,TeamData[Pokemon],TeamData[DEF]),
    _xlpm.oppATK, $AU10,
    _xlpm.oppDEF, $AV10,
    _xlpm.oppSPD, $AX10,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0</v>
      </c>
      <c r="AL10" s="30" t="str">
        <f>_xlfn.XLOOKUP($A10,TeamData[Pokemon],TeamData[Move4])</f>
        <v>Heat Wave</v>
      </c>
      <c r="AM10" s="30" t="str">
        <f>_xlfn.XLOOKUP($A10,TeamData[Pokemon],TeamData[Move4Type])</f>
        <v>Fire</v>
      </c>
      <c r="AN10" s="30">
        <f>_xlfn.XLOOKUP($A10,TeamData[Pokemon],TeamData[Move4Power])</f>
        <v>95</v>
      </c>
      <c r="AO10" s="30" t="str">
        <f>_xlfn.XLOOKUP($A10,TeamData[Pokemon],TeamData[Move4Category])</f>
        <v>Special</v>
      </c>
      <c r="AP10" s="30">
        <f>INDEX(TypeChart[],MATCH(AM10,TypeChart[AttackType ↓ / DefendingType →],0),MATCH($N$2,TypeChart[#Headers],0))*IF(OR($O$2="",$O$2=0),1,INDEX(TypeChart[],MATCH(AM10,TypeChart[AttackType ↓ / DefendingType →],0),MATCH($O$2,TypeChart[#Headers],0)))</f>
        <v>1</v>
      </c>
      <c r="AQ10" s="30">
        <f>IF(OR(AM10=INDEX(TeamData[Type1],MATCH(A10,TeamData[Pokemon],0)),AM10=INDEX(TeamData[Type2],MATCH(A10,TeamData[Pokemon],0))),$BH10,1)</f>
        <v>1.5</v>
      </c>
      <c r="AR10" s="30">
        <f t="shared" ref="AR10" si="7">AP10*AQ10</f>
        <v>1.5</v>
      </c>
      <c r="AS10" s="30" cm="1">
        <f t="array" ref="AS10">_xlfn.LET(
    _xlpm.dmgMethod, DO10,
    _xlpm.movePower, AN10,
    _xlpm.moveCategory, AO10,
    _xlpm.moveType, AM10,
    _xlpm.moveHits, IFERROR(VLOOKUP(AL10,MoveData[],6,FALSE),1),
    _xlpm.effectiveness, AP10,
    _xlpm.stabMod, AQ10,
    _xlpm.techMod, $BM10,
    _xlpm.outMod, $CG10,
    _xlpm.atkMod, $BI10,
    _xlpm.teamATK, _xlfn.XLOOKUP($A10,TeamData[Pokemon],TeamData[ATK]),
    _xlpm.teamSPA, _xlfn.XLOOKUP($A10,TeamData[Pokemon],TeamData[SPA]),
    _xlpm.teamDEF, _xlfn.XLOOKUP($A10,TeamData[Pokemon],TeamData[DEF]),
    _xlpm.oppATK, $AU10,
    _xlpm.oppDEF, $AV10,
    _xlpm.oppSPD, $AX10,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323.44374389485836</v>
      </c>
      <c r="AT10" s="30" cm="1">
        <f t="array" ref="AT10">IFERROR(INDEX(Opponent[Level],MATCH(1,(Opponent[Trainer]=$B$2)*(Opponent[Battle]=$B$3)*(Opponent[Pokemon]=$B$4),0)),0)</f>
        <v>51</v>
      </c>
      <c r="AU10" s="30" cm="1">
        <f t="array" ref="AU10">IFERROR(((2*INDEX(Opponent[ATK],MATCH(1,(Opponent[Trainer]=$B$2)*(Opponent[Battle]=$B$3)*(Opponent[Pokemon]=$B$4),0))+31)*$AT10/100)+5,0)</f>
        <v>148.31</v>
      </c>
      <c r="AV10" s="30" cm="1">
        <f t="array" ref="AV10">IFERROR(((2*INDEX(Opponent[DEF],MATCH(1,(Opponent[Trainer]=$B$2)*(Opponent[Battle]=$B$3)*(Opponent[Pokemon]=$B$4),0))+31)*$AT10/100)+5,0)</f>
        <v>163.61000000000001</v>
      </c>
      <c r="AW10" s="30" cm="1">
        <f t="array" ref="AW10">IFERROR(((2*INDEX(Opponent[SPA],MATCH(1,(Opponent[Trainer]=$B$2)*(Opponent[Battle]=$B$3)*(Opponent[Pokemon]=$B$4),0))+31)*$AT10/100)+5,0)</f>
        <v>82.01</v>
      </c>
      <c r="AX10" s="30" cm="1">
        <f t="array" ref="AX10">IFERROR(((2*INDEX(Opponent[SPD],MATCH(1,(Opponent[Trainer]=$B$2)*(Opponent[Battle]=$B$3)*(Opponent[Pokemon]=$B$4),0))+31)*$AT10/100)+5,0)</f>
        <v>112.61</v>
      </c>
      <c r="AY10" s="30" cm="1">
        <f t="array" ref="AY10">IFERROR(((2*INDEX(Opponent[SPE],MATCH(1,(Opponent[Trainer]=$B$2)*(Opponent[Battle]=$B$3)*(Opponent[Pokemon]=$B$4),0))+31)*$AT10/100)+5,0)</f>
        <v>61.61</v>
      </c>
      <c r="AZ10" s="30" cm="1">
        <f t="array" ref="AZ10">IFERROR(((2*INDEX(Opponent[HP],MATCH(1,(Opponent[Trainer]=$B$2)*(Opponent[Battle]=$B$3)*(Opponent[Pokemon]=$B$4),0))+31)*Table8[[#This Row],[OpponentLevel]]/100)+Table8[[#This Row],[OpponentLevel]]+10,0)</f>
        <v>153.31</v>
      </c>
      <c r="BA10" s="30">
        <f>IF(OR(Table8[[#This Row],[ApproxHP]]="",Table8[[#This Row],[ApproxHP]]=0),"",IFERROR(Table8[[#This Row],[BestMoveScoreNumeric]]/Table8[[#This Row],[ApproxHP]],""))</f>
        <v>2.1097367679528953</v>
      </c>
      <c r="BB10" s="30">
        <f>IFERROR(VLOOKUP(A10,TeamData[],30,FALSE),"")</f>
        <v>90</v>
      </c>
      <c r="BC10" s="30" t="str" cm="1">
        <f t="array" ref="BC10">IFERROR(INDEX(Opponent[Ability],MATCH(1,(Opponent[Pokemon]=$B$4)*(Opponent[Battle]=$B$3)*(Opponent[Trainer]=$B$2),0)),"")</f>
        <v>Emergency Exit</v>
      </c>
      <c r="BD10" s="30" cm="1">
        <f t="array" ref="BD10">IF(A10="",1,IF($BB10="",1,IF(SUMPRODUCT((AbilityRules[Ability]=$BB10)*(AbilityRules[Effect]="Immunity")*(AbilityRules[TargetType]=IFERROR(INDEX(Opponent[Move1Type],MATCH(1,(Opponent[Pokemon]=$B$4)*(Opponent[Battle]=$B$3)*(Opponent[Trainer]=$B$2),0)),"")))&gt;0,0,IF(SUMPRODUCT((AbilityRules[Ability]=$BB10)*(AbilityRules[Effect]="Reduction")*(AbilityRules[TargetType]=IFERROR(INDEX(Opponent[Move1Type],MATCH(1,(Opponent[Pokemon]=$B$4)*(Opponent[Battle]=$B$3)*(Opponent[Trainer]=$B$2),0)),"")))&gt;0,0.5,1))))</f>
        <v>1</v>
      </c>
      <c r="BE10" s="30" cm="1">
        <f t="array" ref="BE10">IF(A10="",1,IF($BB10="",1,IF(SUMPRODUCT((AbilityRules[Ability]=$BB10)*(AbilityRules[Effect]="Immunity")*(AbilityRules[TargetType]=IFERROR(INDEX(Opponent[Move2Type],MATCH(1,(Opponent[Pokemon]=$B$4)*(Opponent[Battle]=$B$3)*(Opponent[Trainer]=$B$2),0)),"")))&gt;0,0,IF(SUMPRODUCT((AbilityRules[Ability]=$BB10)*(AbilityRules[Effect]="Reduction")*(AbilityRules[TargetType]=IFERROR(INDEX(Opponent[Move2Type],MATCH(1,(Opponent[Pokemon]=$B$4)*(Opponent[Battle]=$B$3)*(Opponent[Trainer]=$B$2),0)),"")))&gt;0,0.5,1))))</f>
        <v>1</v>
      </c>
      <c r="BF10" s="30" cm="1">
        <f t="array" ref="BF10">IF(A10="",1,IF($BB10="",1,IF(SUMPRODUCT((AbilityRules[Ability]=$BB10)*(AbilityRules[Effect]="Immunity")*(AbilityRules[TargetType]=IFERROR(INDEX(Opponent[Move3Type],MATCH(1,(Opponent[Pokemon]=$B$4)*(Opponent[Battle]=$B$3)*(Opponent[Trainer]=$B$2),0)),"")))&gt;0,0,IF(SUMPRODUCT((AbilityRules[Ability]=$BB10)*(AbilityRules[Effect]="Reduction")*(AbilityRules[TargetType]=IFERROR(INDEX(Opponent[Move3Type],MATCH(1,(Opponent[Pokemon]=$B$4)*(Opponent[Battle]=$B$3)*(Opponent[Trainer]=$B$2),0)),"")))&gt;0,0.5,1))))</f>
        <v>1</v>
      </c>
      <c r="BG10" s="30" cm="1">
        <f t="array" ref="BG10">IF(A10="",1,IF($BB10="",1,IF(SUMPRODUCT((AbilityRules[Ability]=$BB10)*(AbilityRules[Effect]="Immunity")*(AbilityRules[TargetType]=IFERROR(INDEX(Opponent[Move4Type],MATCH(1,(Opponent[Pokemon]=$B$4)*(Opponent[Battle]=$B$3)*(Opponent[Trainer]=$B$2),0)),"")))&gt;0,0,IF(SUMPRODUCT((AbilityRules[Ability]=$BB10)*(AbilityRules[Effect]="Reduction")*(AbilityRules[TargetType]=IFERROR(INDEX(Opponent[Move4Type],MATCH(1,(Opponent[Pokemon]=$B$4)*(Opponent[Battle]=$B$3)*(Opponent[Trainer]=$B$2),0)),"")))&gt;0,0.5,1))))</f>
        <v>1</v>
      </c>
      <c r="BH10" s="30">
        <f t="shared" ref="BH10:BH15" si="8">IF(A10="",1.5,IF($BB10="Adaptability",2,1.5))</f>
        <v>1.5</v>
      </c>
      <c r="BI10" s="30">
        <f t="shared" ref="BI10:BI15" si="9">IF(A10="",1,IF(OR($BB10="Huge Power",$BB10="Pure Power"),2,1))</f>
        <v>1</v>
      </c>
      <c r="BJ10" s="30">
        <f>IF(A10="",1,IF(AND($BB10="Technician",IFERROR(INDEX(TeamData[Move1Power],MATCH(A10,TeamData[Pokemon],0)),0)&lt;=60,IFERROR(INDEX(TeamData[Move1Power],MATCH(A10,TeamData[Pokemon],0)),0)&gt;0),1.5,1))</f>
        <v>1</v>
      </c>
      <c r="BK10" s="30">
        <f>IF(A10="",1,IF(AND($BB10="Technician",IFERROR(INDEX(TeamData[Move2Power],MATCH(A10,TeamData[Pokemon],0)),0)&lt;=60,IFERROR(INDEX(TeamData[Move2Power],MATCH(A10,TeamData[Pokemon],0)),0)&gt;0),1.5,1))</f>
        <v>1</v>
      </c>
      <c r="BL10" s="30">
        <f>IF(A10="",1,IF(AND($BB10="Technician",IFERROR(INDEX(TeamData[Move3Power],MATCH(A10,TeamData[Pokemon],0)),0)&lt;=60,IFERROR(INDEX(TeamData[Move3Power],MATCH(A10,TeamData[Pokemon],0)),0)&gt;0),1.5,1))</f>
        <v>1</v>
      </c>
      <c r="BM10" s="30">
        <f>IF(A10="",1,IF(AND($BB10="Technician",IFERROR(INDEX(TeamData[Move4Power],MATCH(A10,TeamData[Pokemon],0)),0)&lt;=60,IFERROR(INDEX(TeamData[Move4Power],MATCH(A10,TeamData[Pokemon],0)),0)&gt;0),1.5,1))</f>
        <v>1</v>
      </c>
      <c r="BN10" s="30" t="str" cm="1">
        <f t="array" ref="BN10">IFERROR(INDEX(Opponent[Move1Type],MATCH(1,(Opponent[Pokemon]=$B$4)*(Opponent[Battle]=$B$3)*(Opponent[Trainer]=$B$2),0)),"")</f>
        <v>Bug</v>
      </c>
      <c r="BO10" s="30" t="str" cm="1">
        <f t="array" ref="BO10">IFERROR(INDEX(Opponent[Move2Type],MATCH(1,(Opponent[Pokemon]=$B$4)*(Opponent[Battle]=$B$3)*(Opponent[Trainer]=$B$2),0)),"")</f>
        <v>Water</v>
      </c>
      <c r="BP10" s="30" t="str" cm="1">
        <f t="array" ref="BP10">IFERROR(INDEX(Opponent[Move3Type],MATCH(1,(Opponent[Pokemon]=$B$4)*(Opponent[Battle]=$B$3)*(Opponent[Trainer]=$B$2),0)),"")</f>
        <v>Normal</v>
      </c>
      <c r="BQ10" s="30" t="str" cm="1">
        <f t="array" ref="BQ10">IFERROR(INDEX(Opponent[Move4Type],MATCH(1,(Opponent[Pokemon]=$B$4)*(Opponent[Battle]=$B$3)*(Opponent[Trainer]=$B$2),0)),"")</f>
        <v>Ghost</v>
      </c>
      <c r="BR10" s="30">
        <f>IF(OR(A10="",BN10=""),0,IFERROR(VLOOKUP(BN10,TypeChart[],MATCH(VLOOKUP(A10,TeamData[],2,FALSE),TypeChart[#Headers],0),FALSE)*IF(VLOOKUP(A10,TeamData[],3,FALSE)="",1,VLOOKUP(BN10,TypeChart[],MATCH(VLOOKUP(A10,TeamData[],3,FALSE),TypeChart[#Headers],0),FALSE)),0))</f>
        <v>0.25</v>
      </c>
      <c r="BS10" s="30">
        <f>IF(OR(A10="",BO10=""),0,IFERROR(VLOOKUP(BO10,TypeChart[],MATCH(VLOOKUP(A10,TeamData[],2,FALSE),TypeChart[#Headers],0),FALSE)*IF(VLOOKUP(A10,TeamData[],3,FALSE)="",1,VLOOKUP(BO10,TypeChart[],MATCH(VLOOKUP(A10,TeamData[],3,FALSE),TypeChart[#Headers],0),FALSE)),0))</f>
        <v>2</v>
      </c>
      <c r="BT10" s="30">
        <f>IF(OR(A10="",BP10=""),0,IFERROR(VLOOKUP(BP10,TypeChart[],MATCH(VLOOKUP(A10,TeamData[],2,FALSE),TypeChart[#Headers],0),FALSE)*IF(VLOOKUP(A10,TeamData[],3,FALSE)="",1,VLOOKUP(BP10,TypeChart[],MATCH(VLOOKUP(A10,TeamData[],3,FALSE),TypeChart[#Headers],0),FALSE)),0))</f>
        <v>0</v>
      </c>
      <c r="BU10" s="30">
        <f>IF(OR(A10="",BQ10=""),0,IFERROR(VLOOKUP(BQ10,TypeChart[],MATCH(VLOOKUP(A10,TeamData[],2,FALSE),TypeChart[#Headers],0),FALSE)*IF(VLOOKUP(A10,TeamData[],3,FALSE)="",1,VLOOKUP(BQ10,TypeChart[],MATCH(VLOOKUP(A10,TeamData[],3,FALSE),TypeChart[#Headers],0),FALSE)),0))</f>
        <v>2</v>
      </c>
      <c r="BV10" s="30">
        <f t="shared" ref="BV10" si="10">IF(BR10&gt;1,1,0)</f>
        <v>0</v>
      </c>
      <c r="BW10" s="30">
        <f t="shared" ref="BW10" si="11">IF(BS10&gt;1,1,0)</f>
        <v>1</v>
      </c>
      <c r="BX10" s="30">
        <f t="shared" ref="BX10" si="12">IF(BT10&gt;1,1,0)</f>
        <v>0</v>
      </c>
      <c r="BY10" s="30">
        <f t="shared" ref="BY10" si="13">IF(BU10&gt;1,1,0)</f>
        <v>1</v>
      </c>
      <c r="BZ10" s="30">
        <f t="shared" ref="BZ10" si="14">BD10*IF(AND(BV10=1,OR(BB10="Filter",BB10="Solid Rock",BB10="Prism Armor")),0.75,1)</f>
        <v>1</v>
      </c>
      <c r="CA10" s="30">
        <f t="shared" ref="CA10" si="15">BE10*IF(AND(BW10=1,OR(BB10="Filter",BB10="Solid Rock",BB10="Prism Armor")),0.75,1)</f>
        <v>1</v>
      </c>
      <c r="CB10" s="30">
        <f t="shared" ref="CB10" si="16">BF10*IF(AND(BX10=1,OR(BB10="Filter",BB10="Solid Rock",BB10="Prism Armor")),0.75,1)</f>
        <v>1</v>
      </c>
      <c r="CC10" s="30">
        <f t="shared" ref="CC10" si="17">BG10*IF(AND(BY10=1,OR(BB10="Filter",BB10="Solid Rock",BB10="Prism Armor")),0.75,1)</f>
        <v>1</v>
      </c>
      <c r="CD10" s="30">
        <f t="shared" ref="CD10:CD15" si="18">IFERROR(IF(OR(AND($BC10="Levitate",O10="Ground"),AND($BC10="Flash Fire",O10="Fire"),AND($BC10="Water Absorb",O10="Water"),AND($BC10="Volt Absorb",O10="Electric"),AND($BC10="Lightning Rod",O10="Electric"),AND($BC10="Motor Drive",O10="Electric"),AND($BC10="Storm Drain",O10="Water"),AND($BC10="Sap Sipper",O10="Grass"),AND($BC10="Dry Skin",O10="Water")),0,1),1)</f>
        <v>1</v>
      </c>
      <c r="CE10" s="30">
        <f t="shared" ref="CE10:CE15" si="19">IFERROR(IF(OR(AND($BC10="Levitate",W10="Ground"),AND($BC10="Flash Fire",W10="Fire"),AND($BC10="Water Absorb",W10="Water"),AND($BC10="Volt Absorb",W10="Electric"),AND($BC10="Lightning Rod",W10="Electric"),AND($BC10="Motor Drive",W10="Electric"),AND($BC10="Storm Drain",W10="Water"),AND($BC10="Sap Sipper",W10="Grass"),AND($BC10="Dry Skin",W10="Water")),0,1),1)</f>
        <v>1</v>
      </c>
      <c r="CF10" s="30">
        <f t="shared" ref="CF10:CF15" si="20">IFERROR(IF(OR(AND($BC10="Levitate",AE10="Ground"),AND($BC10="Flash Fire",AE10="Fire"),AND($BC10="Water Absorb",AE10="Water"),AND($BC10="Volt Absorb",AE10="Electric"),AND($BC10="Lightning Rod",AE10="Electric"),AND($BC10="Motor Drive",AE10="Electric"),AND($BC10="Storm Drain",AE10="Water"),AND($BC10="Sap Sipper",AE10="Grass"),AND($BC10="Dry Skin",AE10="Water")),0,1),1)</f>
        <v>1</v>
      </c>
      <c r="CG10" s="30">
        <f t="shared" ref="CG10:CG15" si="21">IFERROR(IF(OR(AND($BC10="Levitate",AM10="Ground"),AND($BC10="Flash Fire",AM10="Fire"),AND($BC10="Water Absorb",AM10="Water"),AND($BC10="Volt Absorb",AM10="Electric"),AND($BC10="Lightning Rod",AM10="Electric"),AND($BC10="Motor Drive",AM10="Electric"),AND($BC10="Storm Drain",AM10="Water"),AND($BC10="Sap Sipper",AM10="Grass"),AND($BC10="Dry Skin",AM10="Water")),0,1),1)</f>
        <v>1</v>
      </c>
      <c r="CH10" s="30">
        <f t="shared" ref="CH10:CH15" si="22">IF(A10="",0,IF(OR(BZ10=0,CA10=0,CB10=0,CC10=0),1,0))</f>
        <v>0</v>
      </c>
      <c r="CI10" s="30">
        <f t="shared" ref="CI10:CI15" si="23">IF(A10="","",CU10)</f>
        <v>0</v>
      </c>
      <c r="CJ10" s="30">
        <f t="shared" ref="CJ10:CJ15" si="24">IF(A10="",0,IF(F10&lt;MAX($F$10:$F$15)*0.5,1,0))</f>
        <v>0</v>
      </c>
      <c r="CK10" s="30" t="e">
        <f>IF(A10="",0,IF(E10&gt;AVERAGEIF($A$10:$A$15,"&lt;&gt;",$E$10:$E$15)*1.5,1,0))</f>
        <v>#DIV/0!</v>
      </c>
      <c r="CL10" s="30">
        <f t="shared" ref="CL10:CL15" si="25">IF(A10="","",IF(AND(CR10=1,G10=CS10,CQ10=1),0,IF(CH10=1,1,IF(AND(CI10=1,OR(BR10=0,BS10=0,BT10=0,BU10=0),F10=MIN($F$10:$F$15)),2,IF(AND(CM10&gt;1.3,CN10&gt;1.3),3,IF(AND(CM10&gt;=CN10*0.9,CM10&gt;1.2),4,IF(AND(CN10&gt;CM10*1.1,CN10&gt;1.2),5,IF(G10&gt;=0.8,6,7))))))))</f>
        <v>6</v>
      </c>
      <c r="CM10">
        <f t="shared" ref="CM10:CM15" si="26">IF(OR(A10="", FU10=""), "", FU10 / IF(LARGE($FU$10:$FU$15, 2) = 0, 1, LARGE($FU$10:$FU$15, 2)))</f>
        <v>1</v>
      </c>
      <c r="CN10" s="30" cm="1">
        <f t="array" ref="CN10">IF(OR(A10="", FV10="", FV10=0), "", SMALL(IF($A$10:$A$15&lt;&gt;"", $FV$10:$FV$15), 2) / FV10)</f>
        <v>0.60784313725490202</v>
      </c>
      <c r="CO10" s="30">
        <f>IF(OR(A10="",C10=""),0,IF(OR(IFERROR(VLOOKUP(C10,TypeChart[],MATCH($N$2,TypeChart[#Headers],0),FALSE),1)&gt;1,IF($O$2="",FALSE,IFERROR(VLOOKUP(C10,TypeChart[],MATCH($O$2,TypeChart[#Headers],0),FALSE),1)&gt;1)),1,0))</f>
        <v>1</v>
      </c>
      <c r="CP10" s="30">
        <f>IF(A10="","",IF(AND(CO10=1,OR(C10=INDEX(TeamData[Type1],MATCH(A10,TeamData[Pokemon],0)),C10=INDEX(TeamData[Type2],MATCH(A10,TeamData[Pokemon],0)))),1,0))</f>
        <v>1</v>
      </c>
      <c r="CQ10" s="43">
        <f t="shared" ref="CQ10:CQ15" si="27">IF(A10="","",IF(AND(E10&gt;300,G10&gt;10),1,0))</f>
        <v>0</v>
      </c>
      <c r="CR10">
        <f t="shared" ref="CR10:CR15" si="28">IF(SUM($CQ$10:$CQ$15)&gt;0,1,0)</f>
        <v>0</v>
      </c>
      <c r="CS10" t="str">
        <f t="shared" ref="CS10:CS15" si="29">IF(SUM($CQ$10:$CQ$15)=0,"",_xlfn.MAXIFS($G$10:$G$15,$CQ$10:$CQ$15,1))</f>
        <v/>
      </c>
      <c r="CT10" s="30" t="str">
        <f t="shared" ref="CT10:CT15" si="30">IF(A10="","",CV10)</f>
        <v/>
      </c>
      <c r="CU10" s="30" cm="1">
        <f t="array" ref="CU10">IF(A10="","",
        IF(OR(
            AND(OR(BR10=0,BD10=0),IFERROR(INDEX(Opponent[Move1Power],MATCH(1,(Opponent[Pokemon]=$B$4)*(Opponent[Battle]=$B$3)*(Opponent[Trainer]=$B$2),0))*1,0)&gt;=CX10,IFERROR(INDEX(Opponent[Move1Power],MATCH(1,(Opponent[Pokemon]=$B$4)*(Opponent[Battle]=$B$3)*(Opponent[Trainer]=$B$2),0))*1,0)&gt;0),
            AND(OR(BS10=0,BE10=0),IFERROR(INDEX(Opponent[Move2Power],MATCH(1,(Opponent[Pokemon]=$B$4)*(Opponent[Battle]=$B$3)*(Opponent[Trainer]=$B$2),0))*1,0)&gt;=CX10,IFERROR(INDEX(Opponent[Move2Power],MATCH(1,(Opponent[Pokemon]=$B$4)*(Opponent[Battle]=$B$3)*(Opponent[Trainer]=$B$2),0))*1,0)&gt;0),
            AND(OR(BT10=0,BF10=0),IFERROR(INDEX(Opponent[Move3Power],MATCH(1,(Opponent[Pokemon]=$B$4)*(Opponent[Battle]=$B$3)*(Opponent[Trainer]=$B$2),0))*1,0)&gt;=CX10,IFERROR(INDEX(Opponent[Move3Power],MATCH(1,(Opponent[Pokemon]=$B$4)*(Opponent[Battle]=$B$3)*(Opponent[Trainer]=$B$2),0))*1,0)&gt;0),
            AND(OR(BU10=0,BG10=0),IFERROR(INDEX(Opponent[Move4Power],MATCH(1,(Opponent[Pokemon]=$B$4)*(Opponent[Battle]=$B$3)*(Opponent[Trainer]=$B$2),0))*1,0)&gt;=CX10,IFERROR(INDEX(Opponent[Move4Power],MATCH(1,(Opponent[Pokemon]=$B$4)*(Opponent[Battle]=$B$3)*(Opponent[Trainer]=$B$2),0))*1,0)&gt;0)
        ),1,0))</f>
        <v>0</v>
      </c>
      <c r="CV10" s="30" t="str" cm="1">
        <f t="array" ref="CV10">IF(CU10=0,"",
        IF(AND(OR(BR10=0,BD10=0),IFERROR(INDEX(Opponent[Move1Power],MATCH(1,(Opponent[Pokemon]=$B$4)*(Opponent[Battle]=$B$3)*(Opponent[Trainer]=$B$2),0))*1,0)&gt;0),BN10,
        IF(AND(OR(BS10=0,BE10=0),IFERROR(INDEX(Opponent[Move2Power],MATCH(1,(Opponent[Pokemon]=$B$4)*(Opponent[Battle]=$B$3)*(Opponent[Trainer]=$B$2),0))*1,0)&gt;0),BO10,
        IF(AND(OR(BT10=0,BF10=0),IFERROR(INDEX(Opponent[Move3Power],MATCH(1,(Opponent[Pokemon]=$B$4)*(Opponent[Battle]=$B$3)*(Opponent[Trainer]=$B$2),0))*1,0)&gt;0),BP10,
        IF(AND(OR(BU10=0,BG10=0),IFERROR(INDEX(Opponent[Move4Power],MATCH(1,(Opponent[Pokemon]=$B$4)*(Opponent[Battle]=$B$3)*(Opponent[Trainer]=$B$2),0))*1,0)&gt;0),BQ10,"")))))</f>
        <v/>
      </c>
      <c r="CW10" s="30" t="e">
        <f t="shared" ref="CW10:CW15" si="31">RANK(F10,$F$10:$F$15,1)</f>
        <v>#N/A</v>
      </c>
      <c r="CX10" s="30">
        <f>IF(A10="","",
            VALUE(IFERROR(VLOOKUP(LEFT(H10,FIND(" (",H10)-1),MoveData[],2,FALSE),0)))</f>
        <v>85</v>
      </c>
      <c r="CY10" s="30" cm="1">
        <f t="array" ref="CY10">INDEX(Opponent[Move3Power],MATCH(1,(Opponent[Pokemon]=$B$4)*(Opponent[Battle]=$B$3)*(Opponent[Trainer]=$B$2),0))</f>
        <v>0</v>
      </c>
      <c r="CZ10" s="30" t="b" cm="1">
        <f t="array" ref="CZ10">AND(BT10=0,IFERROR(INDEX(Opponent[Move3Power],MATCH(1,(Opponent[Pokemon]=$B$4)*(Opponent[Battle]=$B$3)*(Opponent[Trainer]=$B$2),0)),0)&gt;=CX10,IFERROR(INDEX(Opponent[Move3Power],MATCH(1,(Opponent[Pokemon]=$B$4)*(Opponent[Battle]=$B$3)*(Opponent[Trainer]=$B$2),0)),0)&gt;0)</f>
        <v>0</v>
      </c>
      <c r="DA10" s="30" t="b">
        <f t="shared" ref="DA10:DA15" si="32">80&gt;=CX10</f>
        <v>0</v>
      </c>
      <c r="DB10" s="30" t="b">
        <f t="shared" ref="DB10:DB15" si="33">ISNUMBER(CX10)</f>
        <v>1</v>
      </c>
      <c r="DC10" s="43" t="b">
        <f>INDEX(TeamData[SPE],MATCH(Calculator[[#This Row],[Team Member]],TeamData[Pokemon],0))&lt;Table8[[#This Row],[ApproxSPE]]</f>
        <v>0</v>
      </c>
      <c r="DD10" s="43">
        <f>_xlfn.LET(
        _xlpm.teamHP, INDEX(TeamData[HP], MATCH(Calculator[[#This Row],[Team Member]], TeamData[Pokemon], 0)),
        _xlpm.incomingScore, Table8[[#This Row],[IncomingWorstScoreNumeric]],
        IF(OR(_xlpm.teamHP="", _xlpm.teamHP=0), "", IFERROR(_xlpm.incomingScore/_xlpm.teamHP, ""))
    )</f>
        <v>1.9181908094948266</v>
      </c>
      <c r="DE10" s="43" t="b">
        <f>_xlfn.LET(
        _xlpm.teamSPE, INDEX(TeamData[SPE], MATCH(Calculator[[#This Row],[Team Member]], TeamData[Pokemon], 0)),
        _xlpm.opponentSPE, Table8[[#This Row],[ApproxSPE]],
        _xlpm.teamSPE &lt; _xlpm.opponentSPE
    )</f>
        <v>0</v>
      </c>
      <c r="DF10" s="43" t="b" cm="1">
        <f t="array" ref="DF10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_xlpm.isDmax, OR(_xlpm.hasGMax, _xlpm.hasMax),
        _xlpm.offensiveThreshold, IF(_xlpm.isDmax, 2, 1),
        _xlpm.meetsOffensiveOHKO, Table8[[#This Row],[BestMoveHPRatio]]&gt;=_xlpm.offensiveThreshold,
        AND(Table8[[#This Row],[TeamMovesSecond]], _xlpm.meetsOffensiveOHKO, Table8[[#This Row],[LikelySurvivesFirstHit]])
    )</f>
        <v>0</v>
      </c>
      <c r="DG10" s="43" t="str" cm="1">
        <f t="array" ref="DG10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IF(_xlpm.hasGMax, "G-Max", IF(_xlpm.hasMax, "Dmax", ""))
    )</f>
        <v/>
      </c>
      <c r="DH10" s="43" t="str">
        <f>IF(Calculator[[#This Row],[Team Member]]="","",_xlfn.LET(
        _xlpm.opponentSPE, Table8[[#This Row],[ApproxSPE]],
        _xlpm.teamSPE, INDEX(TeamData[SPE], MATCH(Calculator[[#This Row],[Team Member]], TeamData[Pokemon], 0)),
        _xlpm.isFaster, _xlpm.teamSPE&gt;_xlpm.opponentSPE,
        _xlpm.hpRatio, Table8[[#This Row],[BestMoveHPRatio]],
        _xlpm.teamMovesSecond, Table8[[#This Row],[TeamMovesSecond]],
        _xlpm.likelySurvives, Table8[[#This Row],[LikelySurvivesFirstHit]],
        _xlpm.incomingScore, Table8[[#This Row],[IncomingWorstScoreNumeric]],
        _xlpm.hasIncomingDamage, _xlpm.incomingScore&gt;0,
        _xlpm.isDmax, Table8[[#This Row],[DmaxNote]]&lt;&gt;"",
        _xlpm.likelyThreshold, IF(_xlpm.isDmax, 6.5, 3),
        _xlpm.possibleThreshold, IF(_xlpm.isDmax, 4.5, 2),
        _xlpm.meetsLikelyOHKO, _xlpm.hpRatio&gt;=_xlpm.likelyThreshold,
        _xlpm.meetsPossibleOHKO, _xlpm.hpRatio&gt;=_xlpm.possibleThreshold,
        IF(AND(_xlpm.teamMovesSecond, _xlpm.hasIncomingDamage, _xlpm.likelySurvives, _xlpm.meetsLikelyOHKO), "Likely Survival OHKO",
        IF(AND(_xlpm.teamMovesSecond, _xlpm.hasIncomingDamage, _xlpm.likelySurvives, _xlpm.meetsPossibleOHKO), "Possible Survival OHKO",
        IF(OR(_xlpm.isFaster, NOT(_xlpm.hasIncomingDamage)),
            IF(_xlpm.meetsLikelyOHKO, "Likely OHKO",
            IF(_xlpm.meetsPossibleOHKO, "Possible OHKO", "")),
            ""
        )))
    ))</f>
        <v>Possible OHKO</v>
      </c>
      <c r="DI10" s="43" t="str">
        <f>""</f>
        <v/>
      </c>
      <c r="DJ10" s="43" t="str">
        <f>""</f>
        <v/>
      </c>
      <c r="DK10" s="43"/>
      <c r="DL10" s="43" t="str">
        <f>IFERROR(VLOOKUP(N10,MoveData[],9,FALSE),"")</f>
        <v>Standard</v>
      </c>
      <c r="DM10" s="43" t="str">
        <f>IFERROR(VLOOKUP(V10,MoveData[],9,FALSE),"")</f>
        <v>Variable</v>
      </c>
      <c r="DN10" s="43">
        <f>IFERROR(VLOOKUP(AD10,MoveData[],9,FALSE),"")</f>
        <v>0</v>
      </c>
      <c r="DO10" s="43" t="str">
        <f>IFERROR(VLOOKUP(AL10,MoveData[],9,FALSE),"")</f>
        <v>Standard</v>
      </c>
      <c r="DP10" s="43" t="str" cm="1">
        <f t="array" ref="DP10">IFERROR(VLOOKUP(INDEX(Opponent[Move1],MATCH(1,(Opponent[Pokemon]=$B$4)*(Opponent[Battle]=$B$3),0)),MoveData[],9,FALSE),"")</f>
        <v>Standard</v>
      </c>
      <c r="DQ10" s="43" t="str" cm="1">
        <f t="array" ref="DQ10">IFERROR(VLOOKUP(INDEX(Opponent[Move2],MATCH(1,(Opponent[Pokemon]=$B$4)*(Opponent[Battle]=$B$3),0)),MoveData[],9,FALSE),"")</f>
        <v>Standard</v>
      </c>
      <c r="DR10" s="43" cm="1">
        <f t="array" ref="DR10">IFERROR(VLOOKUP(INDEX(Opponent[Move3],MATCH(1,(Opponent[Pokemon]=$B$4)*(Opponent[Battle]=$B$3),0)),MoveData[],9,FALSE),"")</f>
        <v>0</v>
      </c>
      <c r="DS10" s="43" t="str" cm="1">
        <f t="array" ref="DS10">IFERROR(VLOOKUP(INDEX(Opponent[Move4],MATCH(1,(Opponent[Pokemon]=$B$4)*(Opponent[Battle]=$B$3),0)),MoveData[],9,FALSE),"")</f>
        <v>Standard</v>
      </c>
      <c r="DT10" s="43">
        <f>IFERROR(VLOOKUP(Calculator[[#This Row],[Best Move]],MoveData[],8,FALSE),0)</f>
        <v>0</v>
      </c>
      <c r="DU10" s="43">
        <f>IF(H10="",0,IFERROR(VLOOKUP(LEFT(H10,FIND(" (",H10)-1),MoveData[],8,FALSE),0))</f>
        <v>0</v>
      </c>
      <c r="DV10" s="43" t="str">
        <f t="shared" ref="DV10:DV15" si="34">IF(AND(DT10&gt;0,DU10&gt;0),"Both sides have priority",IF(DT10&gt;0,"Best move has priority",IF(DU10&gt;0,"Opponent has priority","")))</f>
        <v/>
      </c>
      <c r="DW10" s="43" t="b">
        <f t="shared" ref="DW10:DW15" si="35">IF(A10="",FALSE,MAX(BR10:BU10)=0)</f>
        <v>0</v>
      </c>
      <c r="DX10" s="43" cm="1">
        <f t="array" ref="DX10">IFERROR(VALUE(_xlfn.XLOOKUP($B$4&amp;$B$3,Opponent[Pokemon]&amp;Opponent[Battle],Opponent[Move1Power])),0)</f>
        <v>90</v>
      </c>
      <c r="DY10" s="43" cm="1">
        <f t="array" ref="DY10">IFERROR(VALUE(_xlfn.XLOOKUP($B$4&amp;$B$3,Opponent[Pokemon]&amp;Opponent[Battle],Opponent[Move2Power])),0)</f>
        <v>85</v>
      </c>
      <c r="DZ10" s="43" cm="1">
        <f t="array" ref="DZ10">IFERROR(VALUE(_xlfn.XLOOKUP($B$4&amp;$B$3,Opponent[Pokemon]&amp;Opponent[Battle],Opponent[Move3Power])),0)</f>
        <v>0</v>
      </c>
      <c r="EA10" s="43" cm="1">
        <f t="array" ref="EA10">IFERROR(VALUE(_xlfn.XLOOKUP($B$4&amp;$B$3,Opponent[Pokemon]&amp;Opponent[Battle],Opponent[Move4Power])),0)</f>
        <v>70</v>
      </c>
      <c r="EB10" s="43">
        <f t="shared" ref="EB10" si="36">MATCH(MAX(DX10:EA10),DX10:EA10,0)</f>
        <v>1</v>
      </c>
      <c r="EC10" s="43" t="str" cm="1">
        <f t="array" ref="EC10">IF(NOT(DW10),"",_xlfn.XLOOKUP($B$4&amp;$B$3,Opponent[Pokemon]&amp;Opponent[Battle],CHOOSE(EB10,Opponent[Move1],Opponent[Move2],Opponent[Move3],Opponent[Move4]))&amp;" ("&amp;_xlfn.XLOOKUP($B$4&amp;$B$3,Opponent[Pokemon]&amp;Opponent[Battle],CHOOSE(EB10,Opponent[Move1Category],Opponent[Move2Category],Opponent[Move3Category],Opponent[Move4Category]))&amp;")")</f>
        <v/>
      </c>
      <c r="ED10" s="43" t="str">
        <f t="shared" ref="ED10:ED15" si="37">IF(EC10&lt;&gt;"",EC10,H10)</f>
        <v>Liquidation (Physical)</v>
      </c>
      <c r="EE10" s="43" t="str">
        <f t="shared" ref="EE10:EE15" si="38">IF(A10="","",IF(E10=U10,Q10,IF(E10=AC10,Y10,IF(E10=AK10,AG10,IF(E10=AS10,AO10,"")))))</f>
        <v/>
      </c>
      <c r="EF10" s="43" t="str" cm="1">
        <f t="array" ref="EF10">IFERROR(_xlfn.XLOOKUP($B$4&amp;$B$3,Opponent[Pokemon]&amp;Opponent[Battle],Opponent[Move1]),"")</f>
        <v>First Impression</v>
      </c>
      <c r="EG10" s="43" t="str" cm="1">
        <f t="array" ref="EG10">IFERROR(_xlfn.XLOOKUP($B$4&amp;$B$3,Opponent[Pokemon]&amp;Opponent[Battle],Opponent[Move2]),"")</f>
        <v>Liquidation</v>
      </c>
      <c r="EH10" s="43" t="str" cm="1">
        <f t="array" ref="EH10">IFERROR(_xlfn.XLOOKUP($B$4&amp;$B$3,Opponent[Pokemon]&amp;Opponent[Battle],Opponent[Move3]),"")</f>
        <v>Swords Dance</v>
      </c>
      <c r="EI10" s="43" t="str" cm="1">
        <f t="array" ref="EI10">IFERROR(_xlfn.XLOOKUP($B$4&amp;$B$3,Opponent[Pokemon]&amp;Opponent[Battle],Opponent[Move4]),"")</f>
        <v>Shadow Claw</v>
      </c>
      <c r="EJ10" s="43" t="str">
        <f>IFERROR(_xlfn.XLOOKUP(EF10,MoveData[Move],MoveData[ActivationCondition]),"Always")</f>
        <v>RequiresFirstTurn</v>
      </c>
      <c r="EK10" s="43" t="str">
        <f>IFERROR(_xlfn.XLOOKUP(EG10,MoveData[Move],MoveData[ActivationCondition]),"Always")</f>
        <v>Always</v>
      </c>
      <c r="EL10" s="43" t="str">
        <f>IFERROR(_xlfn.XLOOKUP(EH10,MoveData[Move],MoveData[ActivationCondition]),"Always")</f>
        <v>Always</v>
      </c>
      <c r="EM10" s="43" t="str">
        <f>IFERROR(_xlfn.XLOOKUP(EI10,MoveData[Move],MoveData[ActivationCondition]),"Always")</f>
        <v>Always</v>
      </c>
      <c r="EN10" s="43" t="b">
        <f t="shared" ref="EN10" si="39">IF(EJ10="RequiresTargetPhysicalMove",EE10="Physical",IF(EJ10="RequiresTargetSpecialMove",EE10="Special",IF(EJ10="RequiresTargetDamagingMove",OR(EE10="Physical",EE10="Special"),TRUE)))</f>
        <v>1</v>
      </c>
      <c r="EO10" s="43" t="b">
        <f t="shared" ref="EO10" si="40">IF(EK10="RequiresTargetPhysicalMove",EE10="Physical",IF(EK10="RequiresTargetSpecialMove",EE10="Special",IF(EK10="RequiresTargetDamagingMove",OR(EE10="Physical",EE10="Special"),TRUE)))</f>
        <v>1</v>
      </c>
      <c r="EP10" s="43" t="b">
        <f t="shared" ref="EP10" si="41">IF(EL10="RequiresTargetPhysicalMove",EE10="Physical",IF(EL10="RequiresTargetSpecialMove",EE10="Special",IF(EL10="RequiresTargetDamagingMove",OR(EE10="Physical",EE10="Special"),TRUE)))</f>
        <v>1</v>
      </c>
      <c r="EQ10" s="43" t="b">
        <f t="shared" ref="EQ10" si="42">IF(EM10="RequiresTargetPhysicalMove",EE10="Physical",IF(EM10="RequiresTargetSpecialMove",EE10="Special",IF(EM10="RequiresTargetDamagingMove",OR(EE10="Physical",EE10="Special"),TRUE)))</f>
        <v>1</v>
      </c>
      <c r="ER10" s="43" t="str">
        <f>IF(A10="","",
        _xlfn.LET(
            _xlpm.bestMove, B10,
            _xlpm.bestMoveContact, IFERROR(_xlfn.XLOOKUP(_xlpm.bestMove, MoveData[Move], MoveData[MakesContact]), FALSE),
            _xlpm.bestMoveCategory, IFERROR(_xlfn.XLOOKUP(_xlpm.bestMove, MoveData[Move], MoveData[Category]), ""),
            _xlpm.oppMove1Cond, EJ10,
            _xlpm.oppMove2Cond, EK10,
            _xlpm.oppMove3Cond, EL10,
            _xlpm.oppMove4Cond, EM10,
            _xlpm.oppMove1, EF10,
            _xlpm.oppMove2, EG10,
            _xlpm.oppMove3, EH10,
            _xlpm.oppMove4, EI10,
            _xlpm.contactRisk, AND(
                _xlpm.bestMoveContact = TRUE,
                OR(_xlpm.oppMove1Cond="RequiresTargetContactMove", _xlpm.oppMove2Cond="RequiresTargetContactMove", _xlpm.oppMove3Cond="RequiresTargetContactMove", _xlpm.oppMove4Cond="RequiresTargetContactMove")
            ),
            _xlpm.physicalRisk, AND(
                _xlpm.bestMoveCategory = "Physical",
                OR(_xlpm.oppMove1Cond="RequiresTargetPhysicalMove", _xlpm.oppMove2Cond="RequiresTargetPhysicalMove", _xlpm.oppMove3Cond="RequiresTargetPhysicalMove", _xlpm.oppMove4Cond="RequiresTargetPhysicalMove")
            ),
            _xlpm.riskMove, IF(_xlpm.contactRisk,
                IF(_xlpm.oppMove1Cond="RequiresTargetContactMove", _xlpm.oppMove1, IF(_xlpm.oppMove2Cond="RequiresTargetContactMove", _xlpm.oppMove2, IF(_xlpm.oppMove3Cond="RequiresTargetContactMove", _xlpm.oppMove3, _xlpm.oppMove4))),
                IF(_xlpm.physicalRisk,
                    IF(_xlpm.oppMove1Cond="RequiresTargetPhysicalMove", _xlpm.oppMove1, IF(_xlpm.oppMove2Cond="RequiresTargetPhysicalMove", _xlpm.oppMove2, IF(_xlpm.oppMove3Cond="RequiresTargetPhysicalMove", _xlpm.oppMove3, _xlpm.oppMove4))),
                    ""
                )
            ),
            IF(OR(_xlpm.contactRisk, _xlpm.physicalRisk), _xlpm.riskMove &amp; " risk", "")
        )
    )</f>
        <v/>
      </c>
      <c r="ES10" s="43" t="str">
        <f>IF(Calculator[[#This Row],[Team Member]]="","",_xlfn.LET(
        _xlpm.isImmune, DW10,
        _xlpm.incomingRatio, DD10,
        _xlpm.likelyThreshold, 3,
        _xlpm.possibleThreshold, 2,
        _xlpm.meetsLikelyIncoming, _xlpm.incomingRatio&gt;=_xlpm.likelyThreshold,
        _xlpm.meetsPossibleIncoming, _xlpm.incomingRatio&gt;=_xlpm.possibleThreshold,
        IF(_xlpm.isImmune, "",
            IF(_xlpm.meetsLikelyIncoming, "Likely Incoming OHKO",
            IF(_xlpm.meetsPossibleIncoming, "Possible Incoming OHKO", "")))
    ))</f>
        <v/>
      </c>
      <c r="ET10" s="43" t="str">
        <f>IF(A10="","",_xlfn.LET(
        _xlpm.opponentAbility, BC10,
        _xlpm.bestMove, B10,
        _xlpm.ohkoNote, DH10,
        _xlpm.tacticalEffect, IFERROR(_xlfn.XLOOKUP(_xlpm.opponentAbility, AbilityRules[Ability], AbilityRules[Effect]), ""),
        _xlpm.tacticalTargetType, IFERROR(_xlfn.XLOOKUP(_xlpm.opponentAbility, AbilityRules[Ability], AbilityRules[TargetType]), ""),
        _xlpm.bestMoveMakesContact, IFERROR(_xlfn.XLOOKUP(_xlpm.bestMove, MoveData[Move], MoveData[MakesContact]), FALSE),
        _xlpm.hasOHKONote, OR(
            ISNUMBER(SEARCH("Likely OHKO", _xlpm.ohkoNote)),
            ISNUMBER(SEARCH("Possible OHKO", _xlpm.ohkoNote)),
            ISNUMBER(SEARCH("Survival OHKO", _xlpm.ohkoNote))
        ),
        IF(_xlpm.tacticalEffect&lt;&gt;"Tactical", "",
            IF(AND(_xlpm.tacticalTargetType="Contact", _xlpm.bestMoveMakesContact=TRUE), _xlpm.opponentAbility&amp;" risk",
            IF(_xlpm.tacticalTargetType="Faint", _xlpm.opponentAbility&amp;" risk",
            IF(AND(_xlpm.tacticalTargetType="OHKO", _xlpm.hasOHKONote), "Sturdy may prevent OHKO",
            "")))
        )
    ))</f>
        <v/>
      </c>
      <c r="EU10" s="43" t="str">
        <f>IFERROR(VLOOKUP(Table8[[#This Row],[Move1]], MoveData[[Move]:[ActivationPowerMultiplier]], 11, FALSE), "Always")</f>
        <v>Always</v>
      </c>
      <c r="EV10" s="43">
        <f>IFERROR(VLOOKUP(Table8[[#This Row],[Move1]], MoveData[[Move]:[ActivationPowerMultiplier]], 13, FALSE), 1)</f>
        <v>1</v>
      </c>
      <c r="EW10" s="43">
        <f>IF(AND(Table8[[#This Row],[Move1ActCond]]&lt;&gt;"Always", LEFT(Table8[[#This Row],[Move1ActCond]],4)="Targ"), Table8[[#This Row],[Move1Score]]*Table8[[#This Row],[Move1ActMult]], 0)</f>
        <v>0</v>
      </c>
      <c r="EX10" s="43" t="str">
        <f>IFERROR(VLOOKUP(Table8[[#This Row],[Move2]], MoveData[[Move]:[ActivationPowerMultiplier]], 11, FALSE), "Always")</f>
        <v>TargetAnyStatus</v>
      </c>
      <c r="EY10" s="43">
        <f>IFERROR(VLOOKUP(Table8[[#This Row],[Move2]], MoveData[[Move]:[ActivationPowerMultiplier]], 13, FALSE), 1)</f>
        <v>2</v>
      </c>
      <c r="EZ10" s="43">
        <f>IF(AND(Table8[[#This Row],[Move2ActCond]]&lt;&gt;"Always", LEFT(Table8[[#This Row],[Move2ActCond]],4)="Targ"), Table8[[#This Row],[Move2Score]]*Table8[[#This Row],[Move2ActMult]], 0)</f>
        <v>368.8393570730841</v>
      </c>
      <c r="FA10" s="43" t="str">
        <f>IFERROR(VLOOKUP(Table8[[#This Row],[Move3]], MoveData[[Move]:[ActivationPowerMultiplier]], 11, FALSE), "Always")</f>
        <v>Always</v>
      </c>
      <c r="FB10" s="43">
        <f>IFERROR(VLOOKUP(Table8[[#This Row],[Move3]], MoveData[[Move]:[ActivationPowerMultiplier]], 13, FALSE), 1)</f>
        <v>1</v>
      </c>
      <c r="FC10" s="43">
        <f>IF(AND(Table8[[#This Row],[Move3ActCond]]&lt;&gt;"Always", LEFT(Table8[[#This Row],[Move3ActCond]],4)="Targ"), Table8[[#This Row],[Move3Score]]*Table8[[#This Row],[Move3ActMult]], 0)</f>
        <v>0</v>
      </c>
      <c r="FD10" s="43" t="str">
        <f>IFERROR(VLOOKUP(Table8[[#This Row],[Move4]], MoveData[[Move]:[ActivationPowerMultiplier]], 11, FALSE), "Always")</f>
        <v>Always</v>
      </c>
      <c r="FE10" s="43">
        <f>IFERROR(VLOOKUP(Table8[[#This Row],[Move4]], MoveData[[Move]:[ActivationPowerMultiplier]], 13, FALSE), 1)</f>
        <v>1</v>
      </c>
      <c r="FF10" s="43">
        <f>IF(AND(Table8[[#This Row],[Move4ActCond]]&lt;&gt;"Always", LEFT(Table8[[#This Row],[Move4ActCond]],4)="Targ"), Table8[[#This Row],[Move4Score]]*Table8[[#This Row],[Move4ActMult]], 0)</f>
        <v>0</v>
      </c>
      <c r="FG10" s="43" t="b" cm="1">
        <f t="array" ref="FG10">_xlfn.LET(
        _xlpm.cond1, Table8[[#This Row],[Move1ActCond]],
        _xlpm.cond2, Table8[[#This Row],[Move2ActCond]],
        _xlpm.cond3, Table8[[#This Row],[Move3ActCond]],
        _xlpm.cond4, Table8[[#This Row],[Move4ActCond]],
        _xlpm.hasConditional, OR(_xlpm.cond1&lt;&gt;"Always", _xlpm.cond2&lt;&gt;"Always", _xlpm.cond3&lt;&gt;"Always", _xlpm.cond4&lt;&gt;"Always"),
        IF(NOT(_xlpm.hasConditional), FALSE,
            _xlfn.LET(
                _xlpm.reqStatuses, IFERROR(_xlfn._xlws.FILTER(ConditionRequirements[RequiredStatus],
                    (ConditionRequirements[ActivationCondition]=_xlpm.cond1)+
                    (ConditionRequirements[ActivationCondition]=_xlpm.cond2)+
                    (ConditionRequirements[ActivationCondition]=_xlpm.cond3)+
                    (ConditionRequirements[ActivationCondition]=_xlpm.cond4)), "None"),
                IF(ROWS(_xlpm.reqStatuses)=1, IF(_xlpm.reqStatuses="None", FALSE,
                    SUMPRODUCT(
                        (IFERROR(_xlfn.XLOOKUP(TeamData[Move1], MoveData[Move], MoveData[StatusEffect], ""), "")=_xlpm.reqStatuses)+
                        (IFERROR(_xlfn.XLOOKUP(TeamData[Move2], MoveData[Move], MoveData[StatusEffect], ""), "")=_xlpm.reqStatuses)+
                        (IFERROR(_xlfn.XLOOKUP(TeamData[Move3], MoveData[Move], MoveData[StatusEffect], ""), "")=_xlpm.reqStatuses)+
                        (IFERROR(_xlfn.XLOOKUP(TeamData[Move4], MoveData[Move], MoveData[StatusEffect], ""), "")=_xlpm.reqStatuses)
                    )&gt;0
                ),
                    SUMPRODUCT(
                        MMULT(
                            (IFERROR(_xlfn.XLOOKUP(TeamData[Move1], MoveData[Move], MoveData[StatusEffect], ""), "")=TRANSPOSE(_xlpm.reqStatuses))+
                            (IFERROR(_xlfn.XLOOKUP(TeamData[Move2], MoveData[Move], MoveData[StatusEffect], ""), "")=TRANSPOSE(_xlpm.reqStatuses))+
                            (IFERROR(_xlfn.XLOOKUP(TeamData[Move3], MoveData[Move], MoveData[StatusEffect], ""), "")=TRANSPOSE(_xlpm.reqStatuses))+
                            (IFERROR(_xlfn.XLOOKUP(TeamData[Move4], MoveData[Move], MoveData[StatusEffect], ""), "")=TRANSPOSE(_xlpm.reqStatuses)),
                            _xlfn.SEQUENCE(ROWS(_xlpm.reqStatuses),1,1,0)
                        )
                    )&gt;0
                )
            )
        )
    )</f>
        <v>1</v>
      </c>
      <c r="FH10" s="43" t="str" cm="1">
        <f t="array" ref="FH10">IF(NOT(Table8[[#This Row],[TeamCanStatus]]), "",
        _xlfn.LET(
            _xlpm.scores, _xlfn.HSTACK(Table8[[#This Row],[Move1BoostedScore]], Table8[[#This Row],[Move2BoostedScore]], Table8[[#This Row],[Move3BoostedScore]], Table8[[#This Row],[Move4BoostedScore]]),
            _xlpm.moves, _xlfn.HSTACK(Table8[[#This Row],[Move1]], Table8[[#This Row],[Move2]], Table8[[#This Row],[Move3]], Table8[[#This Row],[Move4]]),
            _xlpm.maxScore, MAX(_xlpm.scores),
            IF(_xlpm.maxScore=0, "", INDEX(_xlpm.moves, MATCH(_xlpm.maxScore, _xlpm.scores, 0)))
        )
    )</f>
        <v>Hex</v>
      </c>
      <c r="FI10" s="43">
        <f>IF(NOT(Table8[[#This Row],[TeamCanStatus]]), 0, MAX(Table8[[#This Row],[Move1BoostedScore]], Table8[[#This Row],[Move2BoostedScore]], Table8[[#This Row],[Move3BoostedScore]], Table8[[#This Row],[Move4BoostedScore]]))</f>
        <v>368.8393570730841</v>
      </c>
      <c r="FJ10" s="43" t="str">
        <f>IF(ISNUMBER(SEARCH("Likely", Table8[[#This Row],[IncomingOHKONote]])), "",
        IF(AND(Table8[[#This Row],[TeamCanStatus]], Table8[[#This Row],[BestBoostedScore]]&gt;Table8[[#This Row],[BestMoveScoreNumeric]]),
            "Status-boosted "&amp;Table8[[#This Row],[BestConditionalMove]]&amp;" possible",
            ""))</f>
        <v>Status-boosted Hex possible</v>
      </c>
      <c r="FK10" s="43" t="b">
        <f>OR(Table8[[#This Row],[Move1]]="Body Press", Table8[[#This Row],[Move2]]="Body Press", Table8[[#This Row],[Move3]]="Body Press", Table8[[#This Row],[Move4]]="Body Press")</f>
        <v>0</v>
      </c>
      <c r="FL10" s="43">
        <f>MAX(
        IFERROR(_xlfn.XLOOKUP(Table8[[#This Row],[Move1]], MoveData[Move], MoveData[DefStageChange], 0), 0),
        IFERROR(_xlfn.XLOOKUP(Table8[[#This Row],[Move2]], MoveData[Move], MoveData[DefStageChange], 0), 0),
        IFERROR(_xlfn.XLOOKUP(Table8[[#This Row],[Move3]], MoveData[Move], MoveData[DefStageChange], 0), 0),
        IFERROR(_xlfn.XLOOKUP(Table8[[#This Row],[Move4]], MoveData[Move], MoveData[DefStageChange], 0), 0)
    )</f>
        <v>0</v>
      </c>
      <c r="FM10" s="43" t="str" cm="1">
        <f t="array" ref="FM10">IF(AND(Table8[[#This Row],[HasBodyPress]], Table8[[#This Row],[MaxDefBoost]]&gt;0),
        _xlfn.LET(
            _xlpm.baseScore, _xlfn.SWITCH(TRUE,
                Table8[[#This Row],[Move1]]="Body Press", Table8[[#This Row],[Move1Score]],
                Table8[[#This Row],[Move2]]="Body Press", Table8[[#This Row],[Move2Score]],
                Table8[[#This Row],[Move3]]="Body Press", Table8[[#This Row],[Move3Score]],
                Table8[[#This Row],[Move4]]="Body Press", Table8[[#This Row],[Move4Score]],
                0
            ),
            _xlpm.stageMultiplier, (2 + Table8[[#This Row],[MaxDefBoost]]) / 2,
            _xlpm.baseScore * _xlpm.stageMultiplier
        ),
        ""
    )</f>
        <v/>
      </c>
      <c r="FN10" s="43" t="str">
        <f>IF(ISNUMBER(SEARCH("Likely", Table8[[#This Row],[IncomingOHKONote]])), "",
        IF(AND(Table8[[#This Row],[BoostedBodyPressScore]]&lt;&gt;"", Table8[[#This Row],[BoostedBodyPressScore]] &gt; Table8[[#This Row],[BestMoveScoreNumeric]]),
            "Defense-boosted Body Press possible",
            ""))</f>
        <v/>
      </c>
      <c r="FO10" s="30" t="b">
        <f>_xlfn.LET(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O10,
    _xlpm.moveCategory, Q10,
    _xlpm.effectiveness, R10,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0</v>
      </c>
      <c r="FP10" s="30" t="b">
        <f>_xlfn.LET(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W10,
    _xlpm.moveCategory, Y10,
    _xlpm.effectiveness, Z10,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0</v>
      </c>
      <c r="FQ10" s="30" t="b">
        <f>_xlfn.LET(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AE10,
    _xlpm.moveCategory, AG10,
    _xlpm.effectiveness, AH10,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1</v>
      </c>
      <c r="FR10" s="30" t="b">
        <f>_xlfn.LET(
    _xlpm.heldItem, _xlfn.XLOOKUP($A10,TeamData[Pokemon],TeamData[Held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AM10,
    _xlpm.moveCategory, AO10,
    _xlpm.effectiveness, AP10,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1</v>
      </c>
      <c r="FS10" s="30" t="b">
        <f t="shared" ref="FS10:FS15" si="43">_xlfn.LET(
    _xlpm.score1, IF(U10="",0,U10),
    _xlpm.score2, IF(AC10="",0,AC10),
    _xlpm.score3, IF(AK10="",0,AK10),
    _xlpm.score4, IF(AS10="",0,AS10),
    _xlpm.maxScore, MAX(_xlpm.score1,_xlpm.score2,_xlpm.score3,_xlpm.score4),
    _xlpm.boosted1, FO10,
    _xlpm.boosted2, FP10,
    _xlpm.boosted3, FQ10,
    _xlpm.boosted4, FR10,
    IF(_xlpm.maxScore=0, FALSE,
        IF(_xlpm.score1=_xlpm.maxScore, _xlpm.boosted1,
        IF(_xlpm.score2=_xlpm.maxScore, _xlpm.boosted2,
        IF(_xlpm.score3=_xlpm.maxScore, _xlpm.boosted3,
        IF(_xlpm.score4=_xlpm.maxScore, _xlpm.boosted4,
        FALSE)))))
)</f>
        <v>1</v>
      </c>
      <c r="FT10" s="30" t="b">
        <f>_xlfn.LET(
    _xlpm.heldItem, _xlfn.XLOOKUP($A10,TeamData[Pokemon],TeamData[Held Item],""),
    _xlpm.itemEffectType, _xlfn.XLOOKUP(_xlpm.heldItem,Items[Item],Items[EffectType],"None"),
    _xlpm.itemAppliesTo, _xlfn.XLOOKUP(_xlpm.heldItem,Items[Item],Items[AppliesTo],"None"),
    AND(_xlpm.itemEffectType="StatMultiplier", _xlpm.itemAppliesTo="Defense")
)</f>
        <v>0</v>
      </c>
      <c r="FU10" s="30">
        <f t="shared" ref="FU10:FU15" si="44">IFERROR(MAX(IF(U10="",0,U10),IF(AC10="",0,AC10),IF(AK10="",0,AK10),IF(AS10="",0,AS10)),"")</f>
        <v>323.44374389485836</v>
      </c>
      <c r="FV10" s="30" cm="1">
        <f t="array" ref="FV10">IF($A10="",
"",
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DP10,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DQ10,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DR10,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DS10,
    _xlpm.teamType1, INDEX(TeamData[Type1],MATCH(A10,TeamData[Pokemon],0)),
    _xlpm.teamType2, INDEX(TeamData[Type2],MATCH(A10,TeamData[Pokemon],0)),
    _xlpm.teamDEF, INDEX(TeamData[EffectiveDEF],MATCH(A10,TeamData[Pokemon],0)),
    _xlpm.teamSPD, INDEX(TeamData[EffectiveSPD],MATCH(A10,TeamData[Pokemon],0)),
    _xlpm.teamATK, INDEX(TeamData[ATK],MATCH(A10,TeamData[Pokemon],0)),
    _xlpm.oppATK, $AU10,
    _xlpm.oppDEF, $AV10,
    _xlpm.oppSPA, $AW10,
    _xlpm.oppType1, $N$2,
    _xlpm.oppType2, $O$2,
    _xlpm.intimidateMod, IF($BB10="Intimidate",0.667,1),
    _xlpm.typeEff1, 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
    _xlpm.typeEff2, 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
    _xlpm.typeEff3, 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
    _xlpm.typeEff4, 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_xlpm.teamSPD)),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_xlpm.teamSPD)),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_xlpm.teamSPD)),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_xlpm.teamSPD)),
    _xlpm.score1, IF(OR(_xlpm.move1Power="Varies", _xlpm.move1DmgMethod="Fixed", _xlpm.move1DmgMethod="OHKO"), 0, IFERROR(_xlpm.move1Power * _xlpm.hits1 * _xlpm.typeEff1 * _xlpm.stab1 * $BZ10 * _xlpm.atkStat1 / _xlpm.defStat1, 0)),
    _xlpm.score2, IF(OR(_xlpm.move2Power="Varies", _xlpm.move2DmgMethod="Fixed", _xlpm.move2DmgMethod="OHKO"), 0, IFERROR(_xlpm.move2Power * _xlpm.hits2 * _xlpm.typeEff2 * _xlpm.stab2 * $CA10 * _xlpm.atkStat2 / _xlpm.defStat2, 0)),
    _xlpm.score3, IF(OR(_xlpm.move3Power="Varies", _xlpm.move3DmgMethod="Fixed", _xlpm.move3DmgMethod="OHKO"), 0, IFERROR(_xlpm.move3Power * _xlpm.hits3 * _xlpm.typeEff3 * _xlpm.stab3 * $CB10 * _xlpm.atkStat3 / _xlpm.defStat3, 0)),
    _xlpm.score4, IF(OR(_xlpm.move4Power="Varies", _xlpm.move4DmgMethod="Fixed", _xlpm.move4DmgMethod="OHKO"), 0, IFERROR(_xlpm.move4Power * _xlpm.hits4 * _xlpm.typeEff4 * _xlpm.stab4 * $CC10 * _xlpm.atkStat4 / _xlpm.defStat4, 0)),
    MAX(_xlpm.score1*$EN10, _xlpm.score2*$EO10, _xlpm.score3*$EP10, _xlpm.score4*$EQ10)
))</f>
        <v>304.99233870967743</v>
      </c>
    </row>
    <row r="11" spans="1:178" ht="50.1" customHeight="1">
      <c r="A11" s="74" t="str">
        <f>IF('Team Data'!A3="","",'Team Data'!A3)</f>
        <v>Corviknight</v>
      </c>
      <c r="B11" s="75" t="str" cm="1">
        <f t="array" ref="B11">IFERROR(INDEX(N11:AL11,1,MATCH(FU11,CHOOSE({1,2,3,4},IF(U11="",0,U11),IF(AC11="",0,AC11),IF(AK11="",0,AK11),IF(AS11="",0,AS11)),0)*8-7),"")</f>
        <v>Drill Peck</v>
      </c>
      <c r="C11" s="75" t="str" cm="1">
        <f t="array" ref="C11">IFERROR(INDEX(N11:AM11,1,MATCH(FU11,CHOOSE({1,2,3,4},IF(U11="",0,U11),IF(AC11="",0,AC11),IF(AK11="",0,AK11),IF(AS11="",0,AS11)),0)*8-6),"")</f>
        <v>Flying</v>
      </c>
      <c r="D11" s="75" cm="1">
        <f t="array" ref="D11">IFERROR(INDEX(N11:AS11,1,MATCH(FU11,CHOOSE({1,2,3,4},IF(U11="",0,U11),IF(AC11="",0,AC11),IF(AK11="",0,AK11),IF(AS11="",0,AS11)),0)*8-3),"")</f>
        <v>2</v>
      </c>
      <c r="E11" s="76" t="str">
        <f t="shared" si="0"/>
        <v>189.23</v>
      </c>
      <c r="F11" s="77" t="str">
        <f t="shared" si="1"/>
        <v>131.32</v>
      </c>
      <c r="G11" s="79">
        <f t="shared" si="2"/>
        <v>1.44</v>
      </c>
      <c r="H11" s="75" t="str" cm="1">
        <f t="array" ref="H11">IF($A11="","",IF(EC11&lt;&gt;"",EC11,_xlfn.LET(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DP11,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DQ11,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DR11,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DS11,
    _xlpm.teamType1, INDEX(TeamData[Type1],MATCH(A11,TeamData[Pokemon],0)),
    _xlpm.teamType2, INDEX(TeamData[Type2],MATCH(A11,TeamData[Pokemon],0)),
    _xlpm.teamDEF, INDEX(TeamData[DEF],MATCH(A11,TeamData[Pokemon],0)),
    _xlpm.teamSPD, INDEX(TeamData[SPD],MATCH(A11,TeamData[Pokemon],0)),
    _xlpm.teamATK, INDEX(TeamData[ATK],MATCH(A11,TeamData[Pokemon],0)),
    _xlpm.oppATK, $AU11,
    _xlpm.oppDEF, $AV11,
    _xlpm.oppSPA, $AW11,
    _xlpm.oppType1, $N$2,
    _xlpm.oppType2, $O$2,
    _xlpm.intimidateMod, IF($BB11="Intimidate",0.667,1),
    _xlpm.typeEff1, IFERROR(INDEX(TypeChart[],MATCH(_xlpm.move1Type,TypeChart[AttackType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→],0),MATCH(_xlpm.teamType2,TypeChart[#Headers],0))),0),
    _xlpm.typeEff2, IFERROR(INDEX(TypeChart[],MATCH(_xlpm.move2Type,TypeChart[AttackType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→],0),MATCH(_xlpm.teamType2,TypeChart[#Headers],0))),0),
    _xlpm.typeEff3, IFERROR(INDEX(TypeChart[],MATCH(_xlpm.move3Type,TypeChart[AttackType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→],0),MATCH(_xlpm.teamType2,TypeChart[#Headers],0))),0),
    _xlpm.typeEff4, IFERROR(INDEX(TypeChart[],MATCH(_xlpm.move4Type,TypeChart[AttackType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→],0),MATCH(_xlpm.teamType2,TypeChart[#Headers],0))),0),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IF(_xlpm.move1Cat="Special", _xlpm.teamSPD, 1))),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IF(_xlpm.move2Cat="Special", _xlpm.teamSPD, 1))),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IF(_xlpm.move3Cat="Special", _xlpm.teamSPD, 1))),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IF(_xlpm.move4Cat="Special", _xlpm.teamSPD, 1))),
    _xlpm.score1, IF(OR(_xlpm.move1Power="Varies", _xlpm.move1Cat="Status", _xlpm.move1DmgMethod="Fixed", _xlpm.move1DmgMethod="OHKO"), 0, IFERROR(_xlpm.move1Power * _xlpm.hits1 * _xlpm.typeEff1 * _xlpm.stab1 * $BZ11 * _xlpm.atkStat1 / _xlpm.defStat1, 0)),
    _xlpm.score2, IF(OR(_xlpm.move2Power="Varies", _xlpm.move2Cat="Status", _xlpm.move2DmgMethod="Fixed", _xlpm.move2DmgMethod="OHKO"), 0, IFERROR(_xlpm.move2Power * _xlpm.hits2 * _xlpm.typeEff2 * _xlpm.stab2 * $CA11 * _xlpm.atkStat2 / _xlpm.defStat2, 0)),
    _xlpm.score3, IF(OR(_xlpm.move3Power="Varies", _xlpm.move3Cat="Status", _xlpm.move3DmgMethod="Fixed", _xlpm.move3DmgMethod="OHKO"), 0, IFERROR(_xlpm.move3Power * _xlpm.hits3 * _xlpm.typeEff3 * _xlpm.stab3 * $CB11 * _xlpm.atkStat3 / _xlpm.defStat3, 0)),
    _xlpm.score4, IF(OR(_xlpm.move4Power="Varies", _xlpm.move4Cat="Status", _xlpm.move4DmgMethod="Fixed", _xlpm.move4DmgMethod="OHKO"), 0, IFERROR(_xlpm.move4Power * _xlpm.hits4 * _xlpm.typeEff4 * _xlpm.stab4 * $CC11 * _xlpm.atkStat4 / _xlpm.defStat4, 0)),
    _xlpm.maxScore, MAX(_xlpm.score1*$EN11, _xlpm.score2*$EO11, _xlpm.score3*$EP11, _xlpm.score4*$EQ11),
    _xlpm.defaultMove, IF(AND(_xlpm.move1&lt;&gt;"",OR(_xlpm.move1Cat="Physical",_xlpm.move1Cat="Special")), _xlpm.move1 &amp; " (" &amp; _xlpm.move1Cat &amp; ")",
                 IF(AND(_xlpm.move2&lt;&gt;"",OR(_xlpm.move2Cat="Physical",_xlpm.move2Cat="Special")), _xlpm.move2 &amp; " (" &amp; _xlpm.move2Cat &amp; ")",
                 IF(AND(_xlpm.move3&lt;&gt;"",OR(_xlpm.move3Cat="Physical",_xlpm.move3Cat="Special")), _xlpm.move3 &amp; " (" &amp; _xlpm.move3Cat &amp; ")",
                 IF(AND(_xlpm.move4&lt;&gt;"",OR(_xlpm.move4Cat="Physical",_xlpm.move4Cat="Special")), _xlpm.move4 &amp; " (" &amp; _xlpm.move4Cat &amp; ")", "")))),
    IF(_xlpm.maxScore=0, _xlpm.defaultMove,
        IF(AND($EN11,_xlpm.score1*$EN11=_xlpm.maxScore), _xlpm.move1 &amp; " (" &amp; _xlpm.move1Cat &amp; ")",
        IF(AND($EO11,_xlpm.score2*$EO11=_xlpm.maxScore), _xlpm.move2 &amp; " (" &amp; _xlpm.move2Cat &amp; ")",
        IF(AND($EP11,_xlpm.score3*$EP11=_xlpm.maxScore), _xlpm.move3 &amp; " (" &amp; _xlpm.move3Cat &amp; ")",
        IF(AND($EQ11,_xlpm.score4*$EQ11=_xlpm.maxScore), _xlpm.move4 &amp; " (" &amp; _xlpm.move4Cat &amp; ")", "")))))
)))</f>
        <v>Liquidation (Physical)</v>
      </c>
      <c r="I11" s="75">
        <f>IF(A11="","",IF(DW11,0,INDEX(TypeChart[],MATCH(K11,TypeChart[AttackType ↓ / DefendingType →],0),MATCH(INDEX(TeamData[Type1],MATCH(A11,TeamData[Pokemon],0)),TypeChart[#Headers],0))*IF(INDEX(TeamData[Type2],MATCH(A11,TeamData[Pokemon],0))="",1,INDEX(TypeChart[],MATCH(K11,TypeChart[AttackType ↓ / DefendingType →],0),MATCH(INDEX(TeamData[Type2],MATCH(A11,TeamData[Pokemon],0)),TypeChart[#Headers],0)))))</f>
        <v>1</v>
      </c>
      <c r="J11" s="85" t="str">
        <f t="shared" si="3"/>
        <v/>
      </c>
      <c r="K11" s="30" t="str" cm="1">
        <f t="array" ref="K11">IF(A11="","",_xlfn.LET(
        _xlpm.moveName, LEFT(H11,IFERROR(FIND(" (",H11)-1,LEN(H11))),
        _xlpm.oppMove1, INDEX(Opponent[Move1],MATCH(1,(Opponent[Pokemon]=$B$4)*(Opponent[Battle]=$B$3),0)),
        _xlpm.oppMove2, INDEX(Opponent[Move2],MATCH(1,(Opponent[Pokemon]=$B$4)*(Opponent[Battle]=$B$3),0)),
        _xlpm.oppMove3, INDEX(Opponent[Move3],MATCH(1,(Opponent[Pokemon]=$B$4)*(Opponent[Battle]=$B$3),0)),
        _xlpm.oppMove4, INDEX(Opponent[Move4],MATCH(1,(Opponent[Pokemon]=$B$4)*(Opponent[Battle]=$B$3),0)),
        IF(_xlpm.moveName=_xlpm.oppMove1, INDEX(Opponent[Move1Type],MATCH(1,(Opponent[Pokemon]=$B$4)*(Opponent[Battle]=$B$3),0)),
        IF(_xlpm.moveName=_xlpm.oppMove2, INDEX(Opponent[Move2Type],MATCH(1,(Opponent[Pokemon]=$B$4)*(Opponent[Battle]=$B$3),0)),
        IF(_xlpm.moveName=_xlpm.oppMove3, INDEX(Opponent[Move3Type],MATCH(1,(Opponent[Pokemon]=$B$4)*(Opponent[Battle]=$B$3),0)),
        IF(_xlpm.moveName=_xlpm.oppMove4, INDEX(Opponent[Move4Type],MATCH(1,(Opponent[Pokemon]=$B$4)*(Opponent[Battle]=$B$3),0)),
        ""))))
    ))</f>
        <v>Water</v>
      </c>
      <c r="L11" s="30"/>
      <c r="M11" s="30"/>
      <c r="N11" s="30" t="str">
        <f>_xlfn.XLOOKUP($A11,TeamData[Pokemon],TeamData[Move1])</f>
        <v>Drill Peck</v>
      </c>
      <c r="O11" s="30" t="str">
        <f>_xlfn.XLOOKUP($A11,TeamData[Pokemon],TeamData[Move1Type])</f>
        <v>Flying</v>
      </c>
      <c r="P11" s="30">
        <f>_xlfn.XLOOKUP($A11,TeamData[Pokemon],TeamData[Move1Power])</f>
        <v>80</v>
      </c>
      <c r="Q11" s="30" t="str">
        <f>_xlfn.XLOOKUP($A11,TeamData[Pokemon],TeamData[Move1Category])</f>
        <v>Physical</v>
      </c>
      <c r="R11" s="30">
        <f>INDEX(TypeChart[],MATCH(O11,TypeChart[AttackType ↓ / DefendingType →],0),MATCH($N$2,TypeChart[#Headers],0))
*
IF(OR($O$2="",$O$2=0),1,
INDEX(TypeChart[],MATCH(O11,TypeChart[AttackType ↓ / DefendingType →],0),MATCH($O$2,TypeChart[#Headers],0)))</f>
        <v>2</v>
      </c>
      <c r="S11" s="30">
        <f>IF(OR(O11=INDEX(TeamData[Type1],MATCH(A11,TeamData[Pokemon],0)),O11=INDEX(TeamData[Type2],MATCH(A11,TeamData[Pokemon],0))),$BH11,1)</f>
        <v>1.5</v>
      </c>
      <c r="T11" s="30">
        <f>R11*S11</f>
        <v>3</v>
      </c>
      <c r="U11" s="30" cm="1">
        <f t="array" ref="U11">_xlfn.LET(
    _xlpm.dmgMethod, DL11,
    _xlpm.movePower, P11,
    _xlpm.moveCategory, Q11,
    _xlpm.moveType, O11,
    _xlpm.moveHits, IFERROR(VLOOKUP(N11,MoveData[],6,FALSE),1),
    _xlpm.effectiveness, R11,
    _xlpm.stabMod, S11,
    _xlpm.techMod, $BJ11,
    _xlpm.outMod, $CD11,
    _xlpm.atkMod, $BI11,
    _xlpm.teamATK, _xlfn.XLOOKUP($A11,TeamData[Pokemon],TeamData[ATK]),
    _xlpm.teamSPA, _xlfn.XLOOKUP($A11,TeamData[Pokemon],TeamData[SPA]),
    _xlpm.teamDEF, _xlfn.XLOOKUP($A11,TeamData[Pokemon],TeamData[DEF]),
    _xlpm.oppATK, $AU11,
    _xlpm.oppDEF, $AV11,
    _xlpm.oppSPD, $AX11,
    _xlpm.heldItem, _xlfn.XLOOKUP($A11,TeamData[Pokemon],TeamData[Held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189.23048713403824</v>
      </c>
      <c r="V11" s="30" t="str">
        <f>_xlfn.XLOOKUP($A11,TeamData[Pokemon],TeamData[Move2])</f>
        <v>Iron Head</v>
      </c>
      <c r="W11" s="30" t="str">
        <f>_xlfn.XLOOKUP($A11,TeamData[Pokemon],TeamData[Move2Type])</f>
        <v>Steel</v>
      </c>
      <c r="X11" s="30">
        <f>_xlfn.XLOOKUP($A11,TeamData[Pokemon],TeamData[Move2Power])</f>
        <v>80</v>
      </c>
      <c r="Y11" s="30" t="str">
        <f>_xlfn.XLOOKUP($A11,TeamData[Pokemon],TeamData[Move2Category])</f>
        <v>Physical</v>
      </c>
      <c r="Z11" s="30">
        <f>INDEX(TypeChart[],MATCH(W11,TypeChart[AttackType ↓ / DefendingType →],0),MATCH($N$2,TypeChart[#Headers],0))*IF(OR($O$2="",$O$2=0),1,INDEX(TypeChart[],MATCH(W11,TypeChart[AttackType ↓ / DefendingType →],0),MATCH($O$2,TypeChart[#Headers],0)))</f>
        <v>0.5</v>
      </c>
      <c r="AA11" s="30">
        <f>IF(OR(W11=INDEX(TeamData[Type1],MATCH(A11,TeamData[Pokemon],0)),W11=INDEX(TeamData[Type2],MATCH(A11,TeamData[Pokemon],0))),$BH11,1)</f>
        <v>1.5</v>
      </c>
      <c r="AB11" s="30">
        <f>Z11*AA11</f>
        <v>0.75</v>
      </c>
      <c r="AC11" s="30" cm="1">
        <f t="array" ref="AC11">_xlfn.LET(
    _xlpm.dmgMethod, DM11,
    _xlpm.movePower, X11,
    _xlpm.moveCategory, Y11,
    _xlpm.moveType, W11,
    _xlpm.moveHits, IFERROR(VLOOKUP(V11,MoveData[],6,FALSE),1),
    _xlpm.effectiveness, Z11,
    _xlpm.stabMod, AA11,
    _xlpm.techMod, $BK11,
    _xlpm.outMod, $CE11,
    _xlpm.atkMod, $BI11,
    _xlpm.teamATK, _xlfn.XLOOKUP($A11,TeamData[Pokemon],TeamData[ATK]),
    _xlpm.teamSPA, _xlfn.XLOOKUP($A11,TeamData[Pokemon],TeamData[SPA]),
    _xlpm.teamDEF, _xlfn.XLOOKUP($A11,TeamData[Pokemon],TeamData[DEF]),
    _xlpm.oppATK, $AU11,
    _xlpm.oppDEF, $AV11,
    _xlpm.oppSPD, $AX11,
    _xlpm.heldItem, _xlfn.XLOOKUP($A11,TeamData[Pokemon],TeamData[Held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56.769146140211475</v>
      </c>
      <c r="AD11" s="30" t="str">
        <f>_xlfn.XLOOKUP($A11,TeamData[Pokemon],TeamData[Move3])</f>
        <v>Iron Defense</v>
      </c>
      <c r="AE11" s="30" t="str">
        <f>_xlfn.XLOOKUP($A11,TeamData[Pokemon],TeamData[Move3Type])</f>
        <v>Steel</v>
      </c>
      <c r="AF11" s="30">
        <f>_xlfn.XLOOKUP($A11,TeamData[Pokemon],TeamData[Move3Power])</f>
        <v>0</v>
      </c>
      <c r="AG11" s="30" t="str">
        <f>_xlfn.XLOOKUP($A11,TeamData[Pokemon],TeamData[Move3Category])</f>
        <v>Status</v>
      </c>
      <c r="AH11" s="30">
        <f>INDEX(TypeChart[],MATCH(AE11,TypeChart[AttackType ↓ / DefendingType →],0),MATCH($N$2,TypeChart[#Headers],0))*IF(OR($O$2="",$O$2=0),1,INDEX(TypeChart[],MATCH(AE11,TypeChart[AttackType ↓ / DefendingType →],0),MATCH($O$2,TypeChart[#Headers],0)))</f>
        <v>0.5</v>
      </c>
      <c r="AI11" s="30">
        <f>IF(OR(AE11=INDEX(TeamData[Type1],MATCH(A11,TeamData[Pokemon],0)),AE11=INDEX(TeamData[Type2],MATCH(A11,TeamData[Pokemon],0))),$BH11,1)</f>
        <v>1.5</v>
      </c>
      <c r="AJ11" s="30">
        <f>AH11*AI11</f>
        <v>0.75</v>
      </c>
      <c r="AK11" s="30" cm="1">
        <f t="array" ref="AK11">_xlfn.LET(
    _xlpm.dmgMethod, DN11,
    _xlpm.movePower, AF11,
    _xlpm.moveCategory, AG11,
    _xlpm.moveType, AE11,
    _xlpm.moveHits, IFERROR(VLOOKUP(AD11,MoveData[],6,FALSE),1),
    _xlpm.effectiveness, AH11,
    _xlpm.stabMod, AI11,
    _xlpm.techMod, $BL11,
    _xlpm.outMod, $CF11,
    _xlpm.atkMod, $BI11,
    _xlpm.teamATK, _xlfn.XLOOKUP($A11,TeamData[Pokemon],TeamData[ATK]),
    _xlpm.teamSPA, _xlfn.XLOOKUP($A11,TeamData[Pokemon],TeamData[SPA]),
    _xlpm.teamDEF, _xlfn.XLOOKUP($A11,TeamData[Pokemon],TeamData[DEF]),
    _xlpm.oppATK, $AU11,
    _xlpm.oppDEF, $AV11,
    _xlpm.oppSPD, $AX11,
    _xlpm.heldItem, _xlfn.XLOOKUP($A11,TeamData[Pokemon],TeamData[Held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0</v>
      </c>
      <c r="AL11" s="30" t="str">
        <f>_xlfn.XLOOKUP($A11,TeamData[Pokemon],TeamData[Move4])</f>
        <v>Body Press</v>
      </c>
      <c r="AM11" s="30" t="str">
        <f>_xlfn.XLOOKUP($A11,TeamData[Pokemon],TeamData[Move4Type])</f>
        <v>Fighting</v>
      </c>
      <c r="AN11" s="30">
        <f>_xlfn.XLOOKUP($A11,TeamData[Pokemon],TeamData[Move4Power])</f>
        <v>80</v>
      </c>
      <c r="AO11" s="30" t="str">
        <f>_xlfn.XLOOKUP($A11,TeamData[Pokemon],TeamData[Move4Category])</f>
        <v>Physical</v>
      </c>
      <c r="AP11" s="30">
        <f>INDEX(TypeChart[],MATCH(AM11,TypeChart[AttackType ↓ / DefendingType →],0),MATCH($N$2,TypeChart[#Headers],0))*IF(OR($O$2="",$O$2=0),1,INDEX(TypeChart[],MATCH(AM11,TypeChart[AttackType ↓ / DefendingType →],0),MATCH($O$2,TypeChart[#Headers],0)))</f>
        <v>0.5</v>
      </c>
      <c r="AQ11" s="30">
        <f>IF(OR(AM11=INDEX(TeamData[Type1],MATCH(A11,TeamData[Pokemon],0)),AM11=INDEX(TeamData[Type2],MATCH(A11,TeamData[Pokemon],0))),$BH11,1)</f>
        <v>1</v>
      </c>
      <c r="AR11" s="30">
        <f>AP11*AQ11</f>
        <v>0.5</v>
      </c>
      <c r="AS11" s="30" cm="1">
        <f t="array" ref="AS11">_xlfn.LET(
    _xlpm.dmgMethod, DO11,
    _xlpm.movePower, AN11,
    _xlpm.moveCategory, AO11,
    _xlpm.moveType, AM11,
    _xlpm.moveHits, IFERROR(VLOOKUP(AL11,MoveData[],6,FALSE),1),
    _xlpm.effectiveness, AP11,
    _xlpm.stabMod, AQ11,
    _xlpm.techMod, $BM11,
    _xlpm.outMod, $CG11,
    _xlpm.atkMod, $BI11,
    _xlpm.teamATK, _xlfn.XLOOKUP($A11,TeamData[Pokemon],TeamData[ATK]),
    _xlpm.teamSPA, _xlfn.XLOOKUP($A11,TeamData[Pokemon],TeamData[SPA]),
    _xlpm.teamDEF, _xlfn.XLOOKUP($A11,TeamData[Pokemon],TeamData[DEF]),
    _xlpm.oppATK, $AU11,
    _xlpm.oppDEF, $AV11,
    _xlpm.oppSPD, $AX11,
    _xlpm.heldItem, _xlfn.XLOOKUP($A11,TeamData[Pokemon],TeamData[Held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35.20567202493735</v>
      </c>
      <c r="AT11" s="30" cm="1">
        <f t="array" ref="AT11">IFERROR(INDEX(Opponent[Level],MATCH(1,(Opponent[Trainer]=$B$2)*(Opponent[Battle]=$B$3)*(Opponent[Pokemon]=$B$4),0)),0)</f>
        <v>51</v>
      </c>
      <c r="AU11" s="30" cm="1">
        <f t="array" ref="AU11">IFERROR(((2*INDEX(Opponent[ATK],MATCH(1,(Opponent[Trainer]=$B$2)*(Opponent[Battle]=$B$3)*(Opponent[Pokemon]=$B$4),0))+31)*$AT11/100)+5,0)</f>
        <v>148.31</v>
      </c>
      <c r="AV11" s="30" cm="1">
        <f t="array" ref="AV11">IFERROR(((2*INDEX(Opponent[DEF],MATCH(1,(Opponent[Trainer]=$B$2)*(Opponent[Battle]=$B$3)*(Opponent[Pokemon]=$B$4),0))+31)*$AT11/100)+5,0)</f>
        <v>163.61000000000001</v>
      </c>
      <c r="AW11" s="30" cm="1">
        <f t="array" ref="AW11">IFERROR(((2*INDEX(Opponent[SPA],MATCH(1,(Opponent[Trainer]=$B$2)*(Opponent[Battle]=$B$3)*(Opponent[Pokemon]=$B$4),0))+31)*$AT11/100)+5,0)</f>
        <v>82.01</v>
      </c>
      <c r="AX11" s="30" cm="1">
        <f t="array" ref="AX11">IFERROR(((2*INDEX(Opponent[SPD],MATCH(1,(Opponent[Trainer]=$B$2)*(Opponent[Battle]=$B$3)*(Opponent[Pokemon]=$B$4),0))+31)*$AT11/100)+5,0)</f>
        <v>112.61</v>
      </c>
      <c r="AY11" s="30" cm="1">
        <f t="array" ref="AY11">IFERROR(((2*INDEX(Opponent[SPE],MATCH(1,(Opponent[Trainer]=$B$2)*(Opponent[Battle]=$B$3)*(Opponent[Pokemon]=$B$4),0))+31)*$AT11/100)+5,0)</f>
        <v>61.61</v>
      </c>
      <c r="AZ11" s="30" cm="1">
        <f t="array" ref="AZ11">IFERROR(((2*INDEX(Opponent[HP],MATCH(1,(Opponent[Trainer]=$B$2)*(Opponent[Battle]=$B$3)*(Opponent[Pokemon]=$B$4),0))+31)*Table8[[#This Row],[OpponentLevel]]/100)+Table8[[#This Row],[OpponentLevel]]+10,0)</f>
        <v>153.31</v>
      </c>
      <c r="BA11" s="30">
        <f>IF(OR(Table8[[#This Row],[ApproxHP]]="",Table8[[#This Row],[ApproxHP]]=0),"",IFERROR(Table8[[#This Row],[BestMoveScoreNumeric]]/Table8[[#This Row],[ApproxHP]],""))</f>
        <v>1.2342997008286363</v>
      </c>
      <c r="BB11" s="30">
        <f>IFERROR(VLOOKUP(A11,TeamData[],30,FALSE),"")</f>
        <v>100</v>
      </c>
      <c r="BC11" s="30" t="str" cm="1">
        <f t="array" ref="BC11">IFERROR(INDEX(Opponent[Ability],MATCH(1,(Opponent[Pokemon]=$B$4)*(Opponent[Battle]=$B$3)*(Opponent[Trainer]=$B$2),0)),"")</f>
        <v>Emergency Exit</v>
      </c>
      <c r="BD11" s="30" cm="1">
        <f t="array" ref="BD11">IF(A11="",1,IF($BB11="",1,IF(SUMPRODUCT((AbilityRules[Ability]=$BB11)*(AbilityRules[Effect]="Immunity")*(AbilityRules[TargetType]=IFERROR(INDEX(Opponent[Move1Type],MATCH(1,(Opponent[Pokemon]=$B$4)*(Opponent[Battle]=$B$3)*(Opponent[Trainer]=$B$2),0)),"")))&gt;0,0,IF(SUMPRODUCT((AbilityRules[Ability]=$BB11)*(AbilityRules[Effect]="Reduction")*(AbilityRules[TargetType]=IFERROR(INDEX(Opponent[Move1Type],MATCH(1,(Opponent[Pokemon]=$B$4)*(Opponent[Battle]=$B$3)*(Opponent[Trainer]=$B$2),0)),"")))&gt;0,0.5,1))))</f>
        <v>1</v>
      </c>
      <c r="BE11" s="30" cm="1">
        <f t="array" ref="BE11">IF(A11="",1,IF($BB11="",1,IF(SUMPRODUCT((AbilityRules[Ability]=$BB11)*(AbilityRules[Effect]="Immunity")*(AbilityRules[TargetType]=IFERROR(INDEX(Opponent[Move2Type],MATCH(1,(Opponent[Pokemon]=$B$4)*(Opponent[Battle]=$B$3)*(Opponent[Trainer]=$B$2),0)),"")))&gt;0,0,IF(SUMPRODUCT((AbilityRules[Ability]=$BB11)*(AbilityRules[Effect]="Reduction")*(AbilityRules[TargetType]=IFERROR(INDEX(Opponent[Move2Type],MATCH(1,(Opponent[Pokemon]=$B$4)*(Opponent[Battle]=$B$3)*(Opponent[Trainer]=$B$2),0)),"")))&gt;0,0.5,1))))</f>
        <v>1</v>
      </c>
      <c r="BF11" s="30" cm="1">
        <f t="array" ref="BF11">IF(A11="",1,IF($BB11="",1,IF(SUMPRODUCT((AbilityRules[Ability]=$BB11)*(AbilityRules[Effect]="Immunity")*(AbilityRules[TargetType]=IFERROR(INDEX(Opponent[Move3Type],MATCH(1,(Opponent[Pokemon]=$B$4)*(Opponent[Battle]=$B$3)*(Opponent[Trainer]=$B$2),0)),"")))&gt;0,0,IF(SUMPRODUCT((AbilityRules[Ability]=$BB11)*(AbilityRules[Effect]="Reduction")*(AbilityRules[TargetType]=IFERROR(INDEX(Opponent[Move3Type],MATCH(1,(Opponent[Pokemon]=$B$4)*(Opponent[Battle]=$B$3)*(Opponent[Trainer]=$B$2),0)),"")))&gt;0,0.5,1))))</f>
        <v>1</v>
      </c>
      <c r="BG11" s="30" cm="1">
        <f t="array" ref="BG11">IF(A11="",1,IF($BB11="",1,IF(SUMPRODUCT((AbilityRules[Ability]=$BB11)*(AbilityRules[Effect]="Immunity")*(AbilityRules[TargetType]=IFERROR(INDEX(Opponent[Move4Type],MATCH(1,(Opponent[Pokemon]=$B$4)*(Opponent[Battle]=$B$3)*(Opponent[Trainer]=$B$2),0)),"")))&gt;0,0,IF(SUMPRODUCT((AbilityRules[Ability]=$BB11)*(AbilityRules[Effect]="Reduction")*(AbilityRules[TargetType]=IFERROR(INDEX(Opponent[Move4Type],MATCH(1,(Opponent[Pokemon]=$B$4)*(Opponent[Battle]=$B$3)*(Opponent[Trainer]=$B$2),0)),"")))&gt;0,0.5,1))))</f>
        <v>1</v>
      </c>
      <c r="BH11" s="30">
        <f t="shared" si="8"/>
        <v>1.5</v>
      </c>
      <c r="BI11" s="30">
        <f t="shared" si="9"/>
        <v>1</v>
      </c>
      <c r="BJ11" s="30">
        <f>IF(A11="",1,IF(AND($BB11="Technician",IFERROR(INDEX(TeamData[Move1Power],MATCH(A11,TeamData[Pokemon],0)),0)&lt;=60,IFERROR(INDEX(TeamData[Move1Power],MATCH(A11,TeamData[Pokemon],0)),0)&gt;0),1.5,1))</f>
        <v>1</v>
      </c>
      <c r="BK11" s="30">
        <f>IF(A11="",1,IF(AND($BB11="Technician",IFERROR(INDEX(TeamData[Move2Power],MATCH(A11,TeamData[Pokemon],0)),0)&lt;=60,IFERROR(INDEX(TeamData[Move2Power],MATCH(A11,TeamData[Pokemon],0)),0)&gt;0),1.5,1))</f>
        <v>1</v>
      </c>
      <c r="BL11" s="30">
        <f>IF(A11="",1,IF(AND($BB11="Technician",IFERROR(INDEX(TeamData[Move3Power],MATCH(A11,TeamData[Pokemon],0)),0)&lt;=60,IFERROR(INDEX(TeamData[Move3Power],MATCH(A11,TeamData[Pokemon],0)),0)&gt;0),1.5,1))</f>
        <v>1</v>
      </c>
      <c r="BM11" s="30">
        <f>IF(A11="",1,IF(AND($BB11="Technician",IFERROR(INDEX(TeamData[Move4Power],MATCH(A11,TeamData[Pokemon],0)),0)&lt;=60,IFERROR(INDEX(TeamData[Move4Power],MATCH(A11,TeamData[Pokemon],0)),0)&gt;0),1.5,1))</f>
        <v>1</v>
      </c>
      <c r="BN11" s="30" t="str" cm="1">
        <f t="array" ref="BN11">IFERROR(INDEX(Opponent[Move1Type],MATCH(1,(Opponent[Pokemon]=$B$4)*(Opponent[Battle]=$B$3)*(Opponent[Trainer]=$B$2),0)),"")</f>
        <v>Bug</v>
      </c>
      <c r="BO11" s="30" t="str" cm="1">
        <f t="array" ref="BO11">IFERROR(INDEX(Opponent[Move2Type],MATCH(1,(Opponent[Pokemon]=$B$4)*(Opponent[Battle]=$B$3)*(Opponent[Trainer]=$B$2),0)),"")</f>
        <v>Water</v>
      </c>
      <c r="BP11" s="30" t="str" cm="1">
        <f t="array" ref="BP11">IFERROR(INDEX(Opponent[Move3Type],MATCH(1,(Opponent[Pokemon]=$B$4)*(Opponent[Battle]=$B$3)*(Opponent[Trainer]=$B$2),0)),"")</f>
        <v>Normal</v>
      </c>
      <c r="BQ11" s="30" t="str" cm="1">
        <f t="array" ref="BQ11">IFERROR(INDEX(Opponent[Move4Type],MATCH(1,(Opponent[Pokemon]=$B$4)*(Opponent[Battle]=$B$3)*(Opponent[Trainer]=$B$2),0)),"")</f>
        <v>Ghost</v>
      </c>
      <c r="BR11" s="30">
        <f>IF(OR(A11="",BN11=""),0,IFERROR(VLOOKUP(BN11,TypeChart[],MATCH(VLOOKUP(A11,TeamData[],2,FALSE),TypeChart[#Headers],0),FALSE)*IF(VLOOKUP(A11,TeamData[],3,FALSE)="",1,VLOOKUP(BN11,TypeChart[],MATCH(VLOOKUP(A11,TeamData[],3,FALSE),TypeChart[#Headers],0),FALSE)),0))</f>
        <v>0.25</v>
      </c>
      <c r="BS11" s="30">
        <f>IF(OR(A11="",BO11=""),0,IFERROR(VLOOKUP(BO11,TypeChart[],MATCH(VLOOKUP(A11,TeamData[],2,FALSE),TypeChart[#Headers],0),FALSE)*IF(VLOOKUP(A11,TeamData[],3,FALSE)="",1,VLOOKUP(BO11,TypeChart[],MATCH(VLOOKUP(A11,TeamData[],3,FALSE),TypeChart[#Headers],0),FALSE)),0))</f>
        <v>1</v>
      </c>
      <c r="BT11" s="30">
        <f>IF(OR(A11="",BP11=""),0,IFERROR(VLOOKUP(BP11,TypeChart[],MATCH(VLOOKUP(A11,TeamData[],2,FALSE),TypeChart[#Headers],0),FALSE)*IF(VLOOKUP(A11,TeamData[],3,FALSE)="",1,VLOOKUP(BP11,TypeChart[],MATCH(VLOOKUP(A11,TeamData[],3,FALSE),TypeChart[#Headers],0),FALSE)),0))</f>
        <v>0.5</v>
      </c>
      <c r="BU11" s="30">
        <f>IF(OR(A11="",BQ11=""),0,IFERROR(VLOOKUP(BQ11,TypeChart[],MATCH(VLOOKUP(A11,TeamData[],2,FALSE),TypeChart[#Headers],0),FALSE)*IF(VLOOKUP(A11,TeamData[],3,FALSE)="",1,VLOOKUP(BQ11,TypeChart[],MATCH(VLOOKUP(A11,TeamData[],3,FALSE),TypeChart[#Headers],0),FALSE)),0))</f>
        <v>1</v>
      </c>
      <c r="BV11" s="30">
        <f t="shared" ref="BV11:BY15" si="45">IF(BR11&gt;1,1,0)</f>
        <v>0</v>
      </c>
      <c r="BW11" s="30">
        <f t="shared" si="45"/>
        <v>0</v>
      </c>
      <c r="BX11" s="30">
        <f t="shared" si="45"/>
        <v>0</v>
      </c>
      <c r="BY11" s="30">
        <f t="shared" si="45"/>
        <v>0</v>
      </c>
      <c r="BZ11" s="30">
        <f>BD11*IF(AND(BV11=1,OR(BB11="Filter",BB11="Solid Rock",BB11="Prism Armor")),0.75,1)</f>
        <v>1</v>
      </c>
      <c r="CA11" s="30">
        <f>BE11*IF(AND(BW11=1,OR(BB11="Filter",BB11="Solid Rock",BB11="Prism Armor")),0.75,1)</f>
        <v>1</v>
      </c>
      <c r="CB11" s="30">
        <f>BF11*IF(AND(BX11=1,OR(BB11="Filter",BB11="Solid Rock",BB11="Prism Armor")),0.75,1)</f>
        <v>1</v>
      </c>
      <c r="CC11" s="30">
        <f>BG11*IF(AND(BY11=1,OR(BB11="Filter",BB11="Solid Rock",BB11="Prism Armor")),0.75,1)</f>
        <v>1</v>
      </c>
      <c r="CD11" s="30">
        <f t="shared" si="18"/>
        <v>1</v>
      </c>
      <c r="CE11" s="30">
        <f t="shared" si="19"/>
        <v>1</v>
      </c>
      <c r="CF11" s="30">
        <f t="shared" si="20"/>
        <v>1</v>
      </c>
      <c r="CG11" s="30">
        <f t="shared" si="21"/>
        <v>1</v>
      </c>
      <c r="CH11" s="30">
        <f t="shared" si="22"/>
        <v>0</v>
      </c>
      <c r="CI11" s="30">
        <f t="shared" si="23"/>
        <v>0</v>
      </c>
      <c r="CJ11" s="30">
        <f t="shared" si="24"/>
        <v>0</v>
      </c>
      <c r="CK11" s="30" t="e">
        <f t="shared" ref="CK11" si="46">IF(A11="",0,IF(E11&gt;AVERAGEIF($A$10:$A$15,"&lt;&gt;",$E$10:$E$15)*1.5,1,0))</f>
        <v>#DIV/0!</v>
      </c>
      <c r="CL11" s="30">
        <f t="shared" si="25"/>
        <v>5</v>
      </c>
      <c r="CM11">
        <f t="shared" si="26"/>
        <v>0.585049149058673</v>
      </c>
      <c r="CN11" s="30" cm="1">
        <f t="array" ref="CN11">IF(OR(A11="", FV11="", FV11=0), "", SMALL(IF($A$10:$A$15&lt;&gt;"", $FV$10:$FV$15), 2) / FV11)</f>
        <v>1.411764705882353</v>
      </c>
      <c r="CO11" s="30">
        <f>IF(OR(A11="",C11=""),0,IF(OR(IFERROR(VLOOKUP(C11,TypeChart[],MATCH($N$2,TypeChart[#Headers],0),FALSE),1)&gt;1,IF($O$2="",FALSE,IFERROR(VLOOKUP(C11,TypeChart[],MATCH($O$2,TypeChart[#Headers],0),FALSE),1)&gt;1)),1,0))</f>
        <v>1</v>
      </c>
      <c r="CP11" s="30">
        <f>IF(A11="","",IF(AND(CO11=1,OR(C11=INDEX(TeamData[Type1],MATCH(A11,TeamData[Pokemon],0)),C11=INDEX(TeamData[Type2],MATCH(A11,TeamData[Pokemon],0)))),1,0))</f>
        <v>1</v>
      </c>
      <c r="CQ11" s="43">
        <f t="shared" si="27"/>
        <v>0</v>
      </c>
      <c r="CR11">
        <f t="shared" si="28"/>
        <v>0</v>
      </c>
      <c r="CS11" t="str">
        <f t="shared" si="29"/>
        <v/>
      </c>
      <c r="CT11" s="30" t="str">
        <f t="shared" si="30"/>
        <v/>
      </c>
      <c r="CU11" s="30" cm="1">
        <f t="array" ref="CU11">IF(A11="","",
        IF(OR(
            AND(OR(BR11=0,BD11=0),IFERROR(INDEX(Opponent[Move1Power],MATCH(1,(Opponent[Pokemon]=$B$4)*(Opponent[Battle]=$B$3)*(Opponent[Trainer]=$B$2),0))*1,0)&gt;=CX11,IFERROR(INDEX(Opponent[Move1Power],MATCH(1,(Opponent[Pokemon]=$B$4)*(Opponent[Battle]=$B$3)*(Opponent[Trainer]=$B$2),0))*1,0)&gt;0),
            AND(OR(BS11=0,BE11=0),IFERROR(INDEX(Opponent[Move2Power],MATCH(1,(Opponent[Pokemon]=$B$4)*(Opponent[Battle]=$B$3)*(Opponent[Trainer]=$B$2),0))*1,0)&gt;=CX11,IFERROR(INDEX(Opponent[Move2Power],MATCH(1,(Opponent[Pokemon]=$B$4)*(Opponent[Battle]=$B$3)*(Opponent[Trainer]=$B$2),0))*1,0)&gt;0),
            AND(OR(BT11=0,BF11=0),IFERROR(INDEX(Opponent[Move3Power],MATCH(1,(Opponent[Pokemon]=$B$4)*(Opponent[Battle]=$B$3)*(Opponent[Trainer]=$B$2),0))*1,0)&gt;=CX11,IFERROR(INDEX(Opponent[Move3Power],MATCH(1,(Opponent[Pokemon]=$B$4)*(Opponent[Battle]=$B$3)*(Opponent[Trainer]=$B$2),0))*1,0)&gt;0),
            AND(OR(BU11=0,BG11=0),IFERROR(INDEX(Opponent[Move4Power],MATCH(1,(Opponent[Pokemon]=$B$4)*(Opponent[Battle]=$B$3)*(Opponent[Trainer]=$B$2),0))*1,0)&gt;=CX11,IFERROR(INDEX(Opponent[Move4Power],MATCH(1,(Opponent[Pokemon]=$B$4)*(Opponent[Battle]=$B$3)*(Opponent[Trainer]=$B$2),0))*1,0)&gt;0)
        ),1,0))</f>
        <v>0</v>
      </c>
      <c r="CV11" s="30" t="str" cm="1">
        <f t="array" ref="CV11">IF(CU11=0,"",
        IF(AND(OR(BR11=0,BD11=0),IFERROR(INDEX(Opponent[Move1Power],MATCH(1,(Opponent[Pokemon]=$B$4)*(Opponent[Battle]=$B$3)*(Opponent[Trainer]=$B$2),0))*1,0)&gt;0),BN11,
        IF(AND(OR(BS11=0,BE11=0),IFERROR(INDEX(Opponent[Move2Power],MATCH(1,(Opponent[Pokemon]=$B$4)*(Opponent[Battle]=$B$3)*(Opponent[Trainer]=$B$2),0))*1,0)&gt;0),BO11,
        IF(AND(OR(BT11=0,BF11=0),IFERROR(INDEX(Opponent[Move3Power],MATCH(1,(Opponent[Pokemon]=$B$4)*(Opponent[Battle]=$B$3)*(Opponent[Trainer]=$B$2),0))*1,0)&gt;0),BP11,
        IF(AND(OR(BU11=0,BG11=0),IFERROR(INDEX(Opponent[Move4Power],MATCH(1,(Opponent[Pokemon]=$B$4)*(Opponent[Battle]=$B$3)*(Opponent[Trainer]=$B$2),0))*1,0)&gt;0),BQ11,"")))))</f>
        <v/>
      </c>
      <c r="CW11" s="30" t="e">
        <f t="shared" si="31"/>
        <v>#N/A</v>
      </c>
      <c r="CX11" s="30">
        <f>IF(A11="","",
            VALUE(IFERROR(VLOOKUP(LEFT(H11,FIND(" (",H11)-1),MoveData[],2,FALSE),0)))</f>
        <v>85</v>
      </c>
      <c r="CY11" s="30" cm="1">
        <f t="array" ref="CY11">INDEX(Opponent[Move3Power],MATCH(1,(Opponent[Pokemon]=$B$4)*(Opponent[Battle]=$B$3)*(Opponent[Trainer]=$B$2),0))</f>
        <v>0</v>
      </c>
      <c r="CZ11" s="30" t="b" cm="1">
        <f t="array" ref="CZ11">AND(BT11=0,IFERROR(INDEX(Opponent[Move3Power],MATCH(1,(Opponent[Pokemon]=$B$4)*(Opponent[Battle]=$B$3)*(Opponent[Trainer]=$B$2),0)),0)&gt;=CX11,IFERROR(INDEX(Opponent[Move3Power],MATCH(1,(Opponent[Pokemon]=$B$4)*(Opponent[Battle]=$B$3)*(Opponent[Trainer]=$B$2),0)),0)&gt;0)</f>
        <v>0</v>
      </c>
      <c r="DA11" s="30" t="b">
        <f t="shared" si="32"/>
        <v>0</v>
      </c>
      <c r="DB11" s="30" t="b">
        <f t="shared" si="33"/>
        <v>1</v>
      </c>
      <c r="DC11" s="43" t="b">
        <f>INDEX(TeamData[SPE],MATCH(Calculator[[#This Row],[Team Member]],TeamData[Pokemon],0))&lt;Table8[[#This Row],[ApproxSPE]]</f>
        <v>0</v>
      </c>
      <c r="DD11" s="43">
        <f>_xlfn.LET(
        _xlpm.teamHP, INDEX(TeamData[HP], MATCH(Calculator[[#This Row],[Team Member]], TeamData[Pokemon], 0)),
        _xlpm.incomingScore, Table8[[#This Row],[IncomingWorstScoreNumeric]],
        IF(OR(_xlpm.teamHP="", _xlpm.teamHP=0), "", IFERROR(_xlpm.incomingScore/_xlpm.teamHP, ""))
    )</f>
        <v>0.67341613247863252</v>
      </c>
      <c r="DE11" s="43" t="b">
        <f>_xlfn.LET(
        _xlpm.teamSPE, INDEX(TeamData[SPE], MATCH(Calculator[[#This Row],[Team Member]], TeamData[Pokemon], 0)),
        _xlpm.opponentSPE, Table8[[#This Row],[ApproxSPE]],
        _xlpm.teamSPE &lt; _xlpm.opponentSPE
    )</f>
        <v>0</v>
      </c>
      <c r="DF11" s="43" t="b" cm="1">
        <f t="array" ref="DF11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_xlpm.isDmax, OR(_xlpm.hasGMax, _xlpm.hasMax),
        _xlpm.offensiveThreshold, IF(_xlpm.isDmax, 2, 1),
        _xlpm.meetsOffensiveOHKO, Table8[[#This Row],[BestMoveHPRatio]]&gt;=_xlpm.offensiveThreshold,
        AND(Table8[[#This Row],[TeamMovesSecond]], _xlpm.meetsOffensiveOHKO, Table8[[#This Row],[LikelySurvivesFirstHit]])
    )</f>
        <v>0</v>
      </c>
      <c r="DG11" s="43" t="str" cm="1">
        <f t="array" ref="DG11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IF(_xlpm.hasGMax, "G-Max", IF(_xlpm.hasMax, "Dmax", ""))
    )</f>
        <v/>
      </c>
      <c r="DH11" s="43" t="str">
        <f>IF(Calculator[[#This Row],[Team Member]]="","",_xlfn.LET(
        _xlpm.opponentSPE, Table8[[#This Row],[ApproxSPE]],
        _xlpm.teamSPE, INDEX(TeamData[SPE], MATCH(Calculator[[#This Row],[Team Member]], TeamData[Pokemon], 0)),
        _xlpm.isFaster, _xlpm.teamSPE&gt;_xlpm.opponentSPE,
        _xlpm.hpRatio, Table8[[#This Row],[BestMoveHPRatio]],
        _xlpm.teamMovesSecond, Table8[[#This Row],[TeamMovesSecond]],
        _xlpm.likelySurvives, Table8[[#This Row],[LikelySurvivesFirstHit]],
        _xlpm.incomingScore, Table8[[#This Row],[IncomingWorstScoreNumeric]],
        _xlpm.hasIncomingDamage, _xlpm.incomingScore&gt;0,
        _xlpm.isDmax, Table8[[#This Row],[DmaxNote]]&lt;&gt;"",
        _xlpm.likelyThreshold, IF(_xlpm.isDmax, 6.5, 3),
        _xlpm.possibleThreshold, IF(_xlpm.isDmax, 4.5, 2),
        _xlpm.meetsLikelyOHKO, _xlpm.hpRatio&gt;=_xlpm.likelyThreshold,
        _xlpm.meetsPossibleOHKO, _xlpm.hpRatio&gt;=_xlpm.possibleThreshold,
        IF(AND(_xlpm.teamMovesSecond, _xlpm.hasIncomingDamage, _xlpm.likelySurvives, _xlpm.meetsLikelyOHKO), "Likely Survival OHKO",
        IF(AND(_xlpm.teamMovesSecond, _xlpm.hasIncomingDamage, _xlpm.likelySurvives, _xlpm.meetsPossibleOHKO), "Possible Survival OHKO",
        IF(OR(_xlpm.isFaster, NOT(_xlpm.hasIncomingDamage)),
            IF(_xlpm.meetsLikelyOHKO, "Likely OHKO",
            IF(_xlpm.meetsPossibleOHKO, "Possible OHKO", "")),
            ""
        )))
    ))</f>
        <v/>
      </c>
      <c r="DI11" s="43" t="str">
        <f>""</f>
        <v/>
      </c>
      <c r="DJ11" s="43" t="str">
        <f>""</f>
        <v/>
      </c>
      <c r="DK11" s="43"/>
      <c r="DL11" s="43" t="str">
        <f>IFERROR(VLOOKUP(N11,MoveData[],9,FALSE),"")</f>
        <v>Standard</v>
      </c>
      <c r="DM11" s="43" t="str">
        <f>IFERROR(VLOOKUP(V11,MoveData[],9,FALSE),"")</f>
        <v>Standard</v>
      </c>
      <c r="DN11" s="43">
        <f>IFERROR(VLOOKUP(AD11,MoveData[],9,FALSE),"")</f>
        <v>0</v>
      </c>
      <c r="DO11" s="43" t="str">
        <f>IFERROR(VLOOKUP(AL11,MoveData[],9,FALSE),"")</f>
        <v>UseDEF</v>
      </c>
      <c r="DP11" s="43" t="str" cm="1">
        <f t="array" ref="DP11">IFERROR(VLOOKUP(INDEX(Opponent[Move1],MATCH(1,(Opponent[Pokemon]=$B$4)*(Opponent[Battle]=$B$3),0)),MoveData[],9,FALSE),"")</f>
        <v>Standard</v>
      </c>
      <c r="DQ11" s="43" t="str" cm="1">
        <f t="array" ref="DQ11">IFERROR(VLOOKUP(INDEX(Opponent[Move2],MATCH(1,(Opponent[Pokemon]=$B$4)*(Opponent[Battle]=$B$3),0)),MoveData[],9,FALSE),"")</f>
        <v>Standard</v>
      </c>
      <c r="DR11" s="43" cm="1">
        <f t="array" ref="DR11">IFERROR(VLOOKUP(INDEX(Opponent[Move3],MATCH(1,(Opponent[Pokemon]=$B$4)*(Opponent[Battle]=$B$3),0)),MoveData[],9,FALSE),"")</f>
        <v>0</v>
      </c>
      <c r="DS11" s="43" t="str" cm="1">
        <f t="array" ref="DS11">IFERROR(VLOOKUP(INDEX(Opponent[Move4],MATCH(1,(Opponent[Pokemon]=$B$4)*(Opponent[Battle]=$B$3),0)),MoveData[],9,FALSE),"")</f>
        <v>Standard</v>
      </c>
      <c r="DT11" s="43">
        <f>IFERROR(VLOOKUP(Calculator[[#This Row],[Best Move]],MoveData[],8,FALSE),0)</f>
        <v>0</v>
      </c>
      <c r="DU11" s="43">
        <f>IF(H11="",0,IFERROR(VLOOKUP(LEFT(H11,FIND(" (",H11)-1),MoveData[],8,FALSE),0))</f>
        <v>0</v>
      </c>
      <c r="DV11" s="43" t="str">
        <f t="shared" si="34"/>
        <v/>
      </c>
      <c r="DW11" s="43" t="b">
        <f t="shared" si="35"/>
        <v>0</v>
      </c>
      <c r="DX11" s="43" cm="1">
        <f t="array" ref="DX11">IFERROR(VALUE(_xlfn.XLOOKUP($B$4&amp;$B$3,Opponent[Pokemon]&amp;Opponent[Battle],Opponent[Move1Power])),0)</f>
        <v>90</v>
      </c>
      <c r="DY11" s="43" cm="1">
        <f t="array" ref="DY11">IFERROR(VALUE(_xlfn.XLOOKUP($B$4&amp;$B$3,Opponent[Pokemon]&amp;Opponent[Battle],Opponent[Move2Power])),0)</f>
        <v>85</v>
      </c>
      <c r="DZ11" s="43" cm="1">
        <f t="array" ref="DZ11">IFERROR(VALUE(_xlfn.XLOOKUP($B$4&amp;$B$3,Opponent[Pokemon]&amp;Opponent[Battle],Opponent[Move3Power])),0)</f>
        <v>0</v>
      </c>
      <c r="EA11" s="43" cm="1">
        <f t="array" ref="EA11">IFERROR(VALUE(_xlfn.XLOOKUP($B$4&amp;$B$3,Opponent[Pokemon]&amp;Opponent[Battle],Opponent[Move4Power])),0)</f>
        <v>70</v>
      </c>
      <c r="EB11" s="43">
        <f t="shared" ref="EB11:EB15" si="47">MATCH(MAX(DX11:EA11),DX11:EA11,0)</f>
        <v>1</v>
      </c>
      <c r="EC11" s="43" t="str" cm="1">
        <f t="array" ref="EC11">IF(NOT(DW11),"",_xlfn.XLOOKUP($B$4&amp;$B$3,Opponent[Pokemon]&amp;Opponent[Battle],CHOOSE(EB11,Opponent[Move1],Opponent[Move2],Opponent[Move3],Opponent[Move4]))&amp;" ("&amp;_xlfn.XLOOKUP($B$4&amp;$B$3,Opponent[Pokemon]&amp;Opponent[Battle],CHOOSE(EB11,Opponent[Move1Category],Opponent[Move2Category],Opponent[Move3Category],Opponent[Move4Category]))&amp;")")</f>
        <v/>
      </c>
      <c r="ED11" s="43" t="str">
        <f t="shared" si="37"/>
        <v>Liquidation (Physical)</v>
      </c>
      <c r="EE11" s="43" t="str">
        <f t="shared" si="38"/>
        <v/>
      </c>
      <c r="EF11" s="43" t="str" cm="1">
        <f t="array" ref="EF11">IFERROR(_xlfn.XLOOKUP($B$4&amp;$B$3,Opponent[Pokemon]&amp;Opponent[Battle],Opponent[Move1]),"")</f>
        <v>First Impression</v>
      </c>
      <c r="EG11" s="43" t="str" cm="1">
        <f t="array" ref="EG11">IFERROR(_xlfn.XLOOKUP($B$4&amp;$B$3,Opponent[Pokemon]&amp;Opponent[Battle],Opponent[Move2]),"")</f>
        <v>Liquidation</v>
      </c>
      <c r="EH11" s="43" t="str" cm="1">
        <f t="array" ref="EH11">IFERROR(_xlfn.XLOOKUP($B$4&amp;$B$3,Opponent[Pokemon]&amp;Opponent[Battle],Opponent[Move3]),"")</f>
        <v>Swords Dance</v>
      </c>
      <c r="EI11" s="43" t="str" cm="1">
        <f t="array" ref="EI11">IFERROR(_xlfn.XLOOKUP($B$4&amp;$B$3,Opponent[Pokemon]&amp;Opponent[Battle],Opponent[Move4]),"")</f>
        <v>Shadow Claw</v>
      </c>
      <c r="EJ11" s="43" t="str">
        <f>IFERROR(_xlfn.XLOOKUP(EF11,MoveData[Move],MoveData[ActivationCondition]),"Always")</f>
        <v>RequiresFirstTurn</v>
      </c>
      <c r="EK11" s="43" t="str">
        <f>IFERROR(_xlfn.XLOOKUP(EG11,MoveData[Move],MoveData[ActivationCondition]),"Always")</f>
        <v>Always</v>
      </c>
      <c r="EL11" s="43" t="str">
        <f>IFERROR(_xlfn.XLOOKUP(EH11,MoveData[Move],MoveData[ActivationCondition]),"Always")</f>
        <v>Always</v>
      </c>
      <c r="EM11" s="43" t="str">
        <f>IFERROR(_xlfn.XLOOKUP(EI11,MoveData[Move],MoveData[ActivationCondition]),"Always")</f>
        <v>Always</v>
      </c>
      <c r="EN11" s="43" t="b">
        <f t="shared" ref="EN11:EN15" si="48">IF(EJ11="RequiresTargetPhysicalMove",EE11="Physical",IF(EJ11="RequiresTargetSpecialMove",EE11="Special",IF(EJ11="RequiresTargetDamagingMove",OR(EE11="Physical",EE11="Special"),TRUE)))</f>
        <v>1</v>
      </c>
      <c r="EO11" s="43" t="b">
        <f t="shared" ref="EO11:EO15" si="49">IF(EK11="RequiresTargetPhysicalMove",EE11="Physical",IF(EK11="RequiresTargetSpecialMove",EE11="Special",IF(EK11="RequiresTargetDamagingMove",OR(EE11="Physical",EE11="Special"),TRUE)))</f>
        <v>1</v>
      </c>
      <c r="EP11" s="43" t="b">
        <f t="shared" ref="EP11:EP15" si="50">IF(EL11="RequiresTargetPhysicalMove",EE11="Physical",IF(EL11="RequiresTargetSpecialMove",EE11="Special",IF(EL11="RequiresTargetDamagingMove",OR(EE11="Physical",EE11="Special"),TRUE)))</f>
        <v>1</v>
      </c>
      <c r="EQ11" s="43" t="b">
        <f t="shared" ref="EQ11:EQ15" si="51">IF(EM11="RequiresTargetPhysicalMove",EE11="Physical",IF(EM11="RequiresTargetSpecialMove",EE11="Special",IF(EM11="RequiresTargetDamagingMove",OR(EE11="Physical",EE11="Special"),TRUE)))</f>
        <v>1</v>
      </c>
      <c r="ER11" s="43" t="str">
        <f>IF(A11="","",
        _xlfn.LET(
            _xlpm.bestMove, B11,
            _xlpm.bestMoveContact, IFERROR(_xlfn.XLOOKUP(_xlpm.bestMove, MoveData[Move], MoveData[MakesContact]), FALSE),
            _xlpm.bestMoveCategory, IFERROR(_xlfn.XLOOKUP(_xlpm.bestMove, MoveData[Move], MoveData[Category]), ""),
            _xlpm.oppMove1Cond, EJ11,
            _xlpm.oppMove2Cond, EK11,
            _xlpm.oppMove3Cond, EL11,
            _xlpm.oppMove4Cond, EM11,
            _xlpm.oppMove1, EF11,
            _xlpm.oppMove2, EG11,
            _xlpm.oppMove3, EH11,
            _xlpm.oppMove4, EI11,
            _xlpm.contactRisk, AND(
                _xlpm.bestMoveContact = TRUE,
                OR(_xlpm.oppMove1Cond="RequiresTargetContactMove", _xlpm.oppMove2Cond="RequiresTargetContactMove", _xlpm.oppMove3Cond="RequiresTargetContactMove", _xlpm.oppMove4Cond="RequiresTargetContactMove")
            ),
            _xlpm.physicalRisk, AND(
                _xlpm.bestMoveCategory = "Physical",
                OR(_xlpm.oppMove1Cond="RequiresTargetPhysicalMove", _xlpm.oppMove2Cond="RequiresTargetPhysicalMove", _xlpm.oppMove3Cond="RequiresTargetPhysicalMove", _xlpm.oppMove4Cond="RequiresTargetPhysicalMove")
            ),
            _xlpm.riskMove, IF(_xlpm.contactRisk,
                IF(_xlpm.oppMove1Cond="RequiresTargetContactMove", _xlpm.oppMove1, IF(_xlpm.oppMove2Cond="RequiresTargetContactMove", _xlpm.oppMove2, IF(_xlpm.oppMove3Cond="RequiresTargetContactMove", _xlpm.oppMove3, _xlpm.oppMove4))),
                IF(_xlpm.physicalRisk,
                    IF(_xlpm.oppMove1Cond="RequiresTargetPhysicalMove", _xlpm.oppMove1, IF(_xlpm.oppMove2Cond="RequiresTargetPhysicalMove", _xlpm.oppMove2, IF(_xlpm.oppMove3Cond="RequiresTargetPhysicalMove", _xlpm.oppMove3, _xlpm.oppMove4))),
                    ""
                )
            ),
            IF(OR(_xlpm.contactRisk, _xlpm.physicalRisk), _xlpm.riskMove &amp; " risk", "")
        )
    )</f>
        <v/>
      </c>
      <c r="ES11" s="43" t="str">
        <f>IF(Calculator[[#This Row],[Team Member]]="","",_xlfn.LET(
        _xlpm.isImmune, DW11,
        _xlpm.incomingRatio, DD11,
        _xlpm.likelyThreshold, 3,
        _xlpm.possibleThreshold, 2,
        _xlpm.meetsLikelyIncoming, _xlpm.incomingRatio&gt;=_xlpm.likelyThreshold,
        _xlpm.meetsPossibleIncoming, _xlpm.incomingRatio&gt;=_xlpm.possibleThreshold,
        IF(_xlpm.isImmune, "",
            IF(_xlpm.meetsLikelyIncoming, "Likely Incoming OHKO",
            IF(_xlpm.meetsPossibleIncoming, "Possible Incoming OHKO", "")))
    ))</f>
        <v/>
      </c>
      <c r="ET11" s="43" t="str">
        <f>IF(A11="","",_xlfn.LET(
        _xlpm.opponentAbility, BC11,
        _xlpm.bestMove, B11,
        _xlpm.ohkoNote, DH11,
        _xlpm.tacticalEffect, IFERROR(_xlfn.XLOOKUP(_xlpm.opponentAbility, AbilityRules[Ability], AbilityRules[Effect]), ""),
        _xlpm.tacticalTargetType, IFERROR(_xlfn.XLOOKUP(_xlpm.opponentAbility, AbilityRules[Ability], AbilityRules[TargetType]), ""),
        _xlpm.bestMoveMakesContact, IFERROR(_xlfn.XLOOKUP(_xlpm.bestMove, MoveData[Move], MoveData[MakesContact]), FALSE),
        _xlpm.hasOHKONote, OR(
            ISNUMBER(SEARCH("Likely OHKO", _xlpm.ohkoNote)),
            ISNUMBER(SEARCH("Possible OHKO", _xlpm.ohkoNote)),
            ISNUMBER(SEARCH("Survival OHKO", _xlpm.ohkoNote))
        ),
        IF(_xlpm.tacticalEffect&lt;&gt;"Tactical", "",
            IF(AND(_xlpm.tacticalTargetType="Contact", _xlpm.bestMoveMakesContact=TRUE), _xlpm.opponentAbility&amp;" risk",
            IF(_xlpm.tacticalTargetType="Faint", _xlpm.opponentAbility&amp;" risk",
            IF(AND(_xlpm.tacticalTargetType="OHKO", _xlpm.hasOHKONote), "Sturdy may prevent OHKO",
            "")))
        )
    ))</f>
        <v/>
      </c>
      <c r="EU11" s="43" t="str">
        <f>IFERROR(VLOOKUP(Table8[[#This Row],[Move1]], MoveData[[Move]:[ActivationPowerMultiplier]], 11, FALSE), "Always")</f>
        <v>Always</v>
      </c>
      <c r="EV11" s="43">
        <f>IFERROR(VLOOKUP(Table8[[#This Row],[Move1]], MoveData[[Move]:[ActivationPowerMultiplier]], 13, FALSE), 1)</f>
        <v>1</v>
      </c>
      <c r="EW11" s="43">
        <f>IF(AND(Table8[[#This Row],[Move1ActCond]]&lt;&gt;"Always", LEFT(Table8[[#This Row],[Move1ActCond]],4)="Targ"), Table8[[#This Row],[Move1Score]]*Table8[[#This Row],[Move1ActMult]], 0)</f>
        <v>0</v>
      </c>
      <c r="EX11" s="43" t="str">
        <f>IFERROR(VLOOKUP(Table8[[#This Row],[Move2]], MoveData[[Move]:[ActivationPowerMultiplier]], 11, FALSE), "Always")</f>
        <v>Always</v>
      </c>
      <c r="EY11" s="43">
        <f>IFERROR(VLOOKUP(Table8[[#This Row],[Move2]], MoveData[[Move]:[ActivationPowerMultiplier]], 13, FALSE), 1)</f>
        <v>1</v>
      </c>
      <c r="EZ11" s="43">
        <f>IF(AND(Table8[[#This Row],[Move2ActCond]]&lt;&gt;"Always", LEFT(Table8[[#This Row],[Move2ActCond]],4)="Targ"), Table8[[#This Row],[Move2Score]]*Table8[[#This Row],[Move2ActMult]], 0)</f>
        <v>0</v>
      </c>
      <c r="FA11" s="43" t="str">
        <f>IFERROR(VLOOKUP(Table8[[#This Row],[Move3]], MoveData[[Move]:[ActivationPowerMultiplier]], 11, FALSE), "Always")</f>
        <v>Always</v>
      </c>
      <c r="FB11" s="43">
        <f>IFERROR(VLOOKUP(Table8[[#This Row],[Move3]], MoveData[[Move]:[ActivationPowerMultiplier]], 13, FALSE), 1)</f>
        <v>1</v>
      </c>
      <c r="FC11" s="43">
        <f>IF(AND(Table8[[#This Row],[Move3ActCond]]&lt;&gt;"Always", LEFT(Table8[[#This Row],[Move3ActCond]],4)="Targ"), Table8[[#This Row],[Move3Score]]*Table8[[#This Row],[Move3ActMult]], 0)</f>
        <v>0</v>
      </c>
      <c r="FD11" s="43" t="str">
        <f>IFERROR(VLOOKUP(Table8[[#This Row],[Move4]], MoveData[[Move]:[ActivationPowerMultiplier]], 11, FALSE), "Always")</f>
        <v>Always</v>
      </c>
      <c r="FE11" s="43">
        <f>IFERROR(VLOOKUP(Table8[[#This Row],[Move4]], MoveData[[Move]:[ActivationPowerMultiplier]], 13, FALSE), 1)</f>
        <v>1</v>
      </c>
      <c r="FF11" s="43">
        <f>IF(AND(Table8[[#This Row],[Move4ActCond]]&lt;&gt;"Always", LEFT(Table8[[#This Row],[Move4ActCond]],4)="Targ"), Table8[[#This Row],[Move4Score]]*Table8[[#This Row],[Move4ActMult]], 0)</f>
        <v>0</v>
      </c>
      <c r="FG11" s="43" t="b" cm="1">
        <f t="array" ref="FG11">_xlfn.LET(
        _xlpm.cond1, Table8[[#This Row],[Move1ActCond]],
        _xlpm.cond2, Table8[[#This Row],[Move2ActCond]],
        _xlpm.cond3, Table8[[#This Row],[Move3ActCond]],
        _xlpm.cond4, Table8[[#This Row],[Move4ActCond]],
        _xlpm.hasConditional, OR(_xlpm.cond1&lt;&gt;"Always", _xlpm.cond2&lt;&gt;"Always", _xlpm.cond3&lt;&gt;"Always", _xlpm.cond4&lt;&gt;"Always"),
        IF(NOT(_xlpm.hasConditional), FALSE,
            _xlfn.LET(
                _xlpm.reqStatuses, IFERROR(_xlfn._xlws.FILTER(ConditionRequirements[RequiredStatus],
                    (ConditionRequirements[ActivationCondition]=_xlpm.cond1)+
                    (ConditionRequirements[ActivationCondition]=_xlpm.cond2)+
                    (ConditionRequirements[ActivationCondition]=_xlpm.cond3)+
                    (ConditionRequirements[ActivationCondition]=_xlpm.cond4)), "None"),
                IF(ROWS(_xlpm.reqStatuses)=1, IF(_xlpm.reqStatuses="None", FALSE,
                    SUMPRODUCT(
                        (IFERROR(_xlfn.XLOOKUP(TeamData[Move1], MoveData[Move], MoveData[StatusEffect], ""), "")=_xlpm.reqStatuses)+
                        (IFERROR(_xlfn.XLOOKUP(TeamData[Move2], MoveData[Move], MoveData[StatusEffect], ""), "")=_xlpm.reqStatuses)+
                        (IFERROR(_xlfn.XLOOKUP(TeamData[Move3], MoveData[Move], MoveData[StatusEffect], ""), "")=_xlpm.reqStatuses)+
                        (IFERROR(_xlfn.XLOOKUP(TeamData[Move4], MoveData[Move], MoveData[StatusEffect], ""), "")=_xlpm.reqStatuses)
                    )&gt;0
                ),
                    SUMPRODUCT(
                        MMULT(
                            (IFERROR(_xlfn.XLOOKUP(TeamData[Move1], MoveData[Move], MoveData[StatusEffect], ""), "")=TRANSPOSE(_xlpm.reqStatuses))+
                            (IFERROR(_xlfn.XLOOKUP(TeamData[Move2], MoveData[Move], MoveData[StatusEffect], ""), "")=TRANSPOSE(_xlpm.reqStatuses))+
                            (IFERROR(_xlfn.XLOOKUP(TeamData[Move3], MoveData[Move], MoveData[StatusEffect], ""), "")=TRANSPOSE(_xlpm.reqStatuses))+
                            (IFERROR(_xlfn.XLOOKUP(TeamData[Move4], MoveData[Move], MoveData[StatusEffect], ""), "")=TRANSPOSE(_xlpm.reqStatuses)),
                            _xlfn.SEQUENCE(ROWS(_xlpm.reqStatuses),1,1,0)
                        )
                    )&gt;0
                )
            )
        )
    )</f>
        <v>0</v>
      </c>
      <c r="FH11" s="43" t="str" cm="1">
        <f t="array" ref="FH11">IF(NOT(Table8[[#This Row],[TeamCanStatus]]), "",
        _xlfn.LET(
            _xlpm.scores, _xlfn.HSTACK(Table8[[#This Row],[Move1BoostedScore]], Table8[[#This Row],[Move2BoostedScore]], Table8[[#This Row],[Move3BoostedScore]], Table8[[#This Row],[Move4BoostedScore]]),
            _xlpm.moves, _xlfn.HSTACK(Table8[[#This Row],[Move1]], Table8[[#This Row],[Move2]], Table8[[#This Row],[Move3]], Table8[[#This Row],[Move4]]),
            _xlpm.maxScore, MAX(_xlpm.scores),
            IF(_xlpm.maxScore=0, "", INDEX(_xlpm.moves, MATCH(_xlpm.maxScore, _xlpm.scores, 0)))
        )
    )</f>
        <v/>
      </c>
      <c r="FI11" s="43">
        <f>IF(NOT(Table8[[#This Row],[TeamCanStatus]]), 0, MAX(Table8[[#This Row],[Move1BoostedScore]], Table8[[#This Row],[Move2BoostedScore]], Table8[[#This Row],[Move3BoostedScore]], Table8[[#This Row],[Move4BoostedScore]]))</f>
        <v>0</v>
      </c>
      <c r="FJ11" s="43" t="str">
        <f>IF(ISNUMBER(SEARCH("Likely", Table8[[#This Row],[IncomingOHKONote]])), "",
        IF(AND(Table8[[#This Row],[TeamCanStatus]], Table8[[#This Row],[BestBoostedScore]]&gt;Table8[[#This Row],[BestMoveScoreNumeric]]),
            "Status-boosted "&amp;Table8[[#This Row],[BestConditionalMove]]&amp;" possible",
            ""))</f>
        <v/>
      </c>
      <c r="FK11" s="43" t="b">
        <f>OR(Table8[[#This Row],[Move1]]="Body Press", Table8[[#This Row],[Move2]]="Body Press", Table8[[#This Row],[Move3]]="Body Press", Table8[[#This Row],[Move4]]="Body Press")</f>
        <v>1</v>
      </c>
      <c r="FL11" s="43">
        <f>MAX(
        IFERROR(_xlfn.XLOOKUP(Table8[[#This Row],[Move1]], MoveData[Move], MoveData[DefStageChange], 0), 0),
        IFERROR(_xlfn.XLOOKUP(Table8[[#This Row],[Move2]], MoveData[Move], MoveData[DefStageChange], 0), 0),
        IFERROR(_xlfn.XLOOKUP(Table8[[#This Row],[Move3]], MoveData[Move], MoveData[DefStageChange], 0), 0),
        IFERROR(_xlfn.XLOOKUP(Table8[[#This Row],[Move4]], MoveData[Move], MoveData[DefStageChange], 0), 0)
    )</f>
        <v>2</v>
      </c>
      <c r="FM11" s="43" cm="1">
        <f t="array" ref="FM11">IF(AND(Table8[[#This Row],[HasBodyPress]], Table8[[#This Row],[MaxDefBoost]]&gt;0),
        _xlfn.LET(
            _xlpm.baseScore, _xlfn.SWITCH(TRUE,
                Table8[[#This Row],[Move1]]="Body Press", Table8[[#This Row],[Move1Score]],
                Table8[[#This Row],[Move2]]="Body Press", Table8[[#This Row],[Move2Score]],
                Table8[[#This Row],[Move3]]="Body Press", Table8[[#This Row],[Move3Score]],
                Table8[[#This Row],[Move4]]="Body Press", Table8[[#This Row],[Move4Score]],
                0
            ),
            _xlpm.stageMultiplier, (2 + Table8[[#This Row],[MaxDefBoost]]) / 2,
            _xlpm.baseScore * _xlpm.stageMultiplier
        ),
        ""
    )</f>
        <v>70.4113440498747</v>
      </c>
      <c r="FN11" s="43" t="str">
        <f>IF(ISNUMBER(SEARCH("Likely", Table8[[#This Row],[IncomingOHKONote]])), "",
        IF(AND(Table8[[#This Row],[BoostedBodyPressScore]]&lt;&gt;"", Table8[[#This Row],[BoostedBodyPressScore]] &gt; Table8[[#This Row],[BestMoveScoreNumeric]]),
            "Defense-boosted Body Press possible",
            ""))</f>
        <v/>
      </c>
      <c r="FO11" s="30" t="b">
        <f>_xlfn.LET(
    _xlpm.heldItem, _xlfn.XLOOKUP($A11,TeamData[Pokemon],TeamData[Held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O11,
    _xlpm.moveCategory, Q11,
    _xlpm.effectiveness, R11,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0</v>
      </c>
      <c r="FP11" s="30" t="b">
        <f>_xlfn.LET(
    _xlpm.heldItem, _xlfn.XLOOKUP($A11,TeamData[Pokemon],TeamData[Held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W11,
    _xlpm.moveCategory, Y11,
    _xlpm.effectiveness, Z11,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1</v>
      </c>
      <c r="FQ11" s="30" t="b">
        <f>_xlfn.LET(
    _xlpm.heldItem, _xlfn.XLOOKUP($A11,TeamData[Pokemon],TeamData[Held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AE11,
    _xlpm.moveCategory, AG11,
    _xlpm.effectiveness, AH11,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1</v>
      </c>
      <c r="FR11" s="30" t="b">
        <f>_xlfn.LET(
    _xlpm.heldItem, _xlfn.XLOOKUP($A11,TeamData[Pokemon],TeamData[Held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AM11,
    _xlpm.moveCategory, AO11,
    _xlpm.effectiveness, AP11,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0</v>
      </c>
      <c r="FS11" s="30" t="b">
        <f t="shared" si="43"/>
        <v>0</v>
      </c>
      <c r="FT11" s="30" t="b">
        <f>_xlfn.LET(
    _xlpm.heldItem, _xlfn.XLOOKUP($A11,TeamData[Pokemon],TeamData[Held Item],""),
    _xlpm.itemEffectType, _xlfn.XLOOKUP(_xlpm.heldItem,Items[Item],Items[EffectType],"None"),
    _xlpm.itemAppliesTo, _xlfn.XLOOKUP(_xlpm.heldItem,Items[Item],Items[AppliesTo],"None"),
    AND(_xlpm.itemEffectType="StatMultiplier", _xlpm.itemAppliesTo="Defense")
)</f>
        <v>0</v>
      </c>
      <c r="FU11" s="30">
        <f t="shared" si="44"/>
        <v>189.23048713403824</v>
      </c>
      <c r="FV11" s="30" cm="1">
        <f t="array" ref="FV11">IF($A11="",
"",
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DP11,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DQ11,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DR11,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DS11,
    _xlpm.teamType1, INDEX(TeamData[Type1],MATCH(A11,TeamData[Pokemon],0)),
    _xlpm.teamType2, INDEX(TeamData[Type2],MATCH(A11,TeamData[Pokemon],0)),
    _xlpm.teamDEF, INDEX(TeamData[EffectiveDEF],MATCH(A11,TeamData[Pokemon],0)),
    _xlpm.teamSPD, INDEX(TeamData[EffectiveSPD],MATCH(A11,TeamData[Pokemon],0)),
    _xlpm.teamATK, INDEX(TeamData[ATK],MATCH(A11,TeamData[Pokemon],0)),
    _xlpm.oppATK, $AU11,
    _xlpm.oppDEF, $AV11,
    _xlpm.oppSPA, $AW11,
    _xlpm.oppType1, $N$2,
    _xlpm.oppType2, $O$2,
    _xlpm.intimidateMod, IF($BB11="Intimidate",0.667,1),
    _xlpm.typeEff1, 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
    _xlpm.typeEff2, 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
    _xlpm.typeEff3, 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
    _xlpm.typeEff4, 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_xlpm.teamSPD)),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_xlpm.teamSPD)),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_xlpm.teamSPD)),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_xlpm.teamSPD)),
    _xlpm.score1, IF(OR(_xlpm.move1Power="Varies", _xlpm.move1DmgMethod="Fixed", _xlpm.move1DmgMethod="OHKO"), 0, IFERROR(_xlpm.move1Power * _xlpm.hits1 * _xlpm.typeEff1 * _xlpm.stab1 * $BZ11 * _xlpm.atkStat1 / _xlpm.defStat1, 0)),
    _xlpm.score2, IF(OR(_xlpm.move2Power="Varies", _xlpm.move2DmgMethod="Fixed", _xlpm.move2DmgMethod="OHKO"), 0, IFERROR(_xlpm.move2Power * _xlpm.hits2 * _xlpm.typeEff2 * _xlpm.stab2 * $CA11 * _xlpm.atkStat2 / _xlpm.defStat2, 0)),
    _xlpm.score3, IF(OR(_xlpm.move3Power="Varies", _xlpm.move3DmgMethod="Fixed", _xlpm.move3DmgMethod="OHKO"), 0, IFERROR(_xlpm.move3Power * _xlpm.hits3 * _xlpm.typeEff3 * _xlpm.stab3 * $CB11 * _xlpm.atkStat3 / _xlpm.defStat3, 0)),
    _xlpm.score4, IF(OR(_xlpm.move4Power="Varies", _xlpm.move4DmgMethod="Fixed", _xlpm.move4DmgMethod="OHKO"), 0, IFERROR(_xlpm.move4Power * _xlpm.hits4 * _xlpm.typeEff4 * _xlpm.stab4 * $CC11 * _xlpm.atkStat4 / _xlpm.defStat4, 0)),
    MAX(_xlpm.score1*$EN11, _xlpm.score2*$EO11, _xlpm.score3*$EP11, _xlpm.score4*$EQ11)
))</f>
        <v>131.31614583333334</v>
      </c>
    </row>
    <row r="12" spans="1:178" ht="50.1" customHeight="1">
      <c r="A12" s="74" t="str">
        <f>IF('Team Data'!A4="","",'Team Data'!A4)</f>
        <v>Raichu</v>
      </c>
      <c r="B12" s="75" t="str" cm="1">
        <f t="array" ref="B12">IFERROR(INDEX(N12:AL12,1,MATCH(FU12,CHOOSE({1,2,3,4},IF(U12="",0,U12),IF(AC12="",0,AC12),IF(AK12="",0,AK12),IF(AS12="",0,AS12)),0)*8-7),"")</f>
        <v>Thunderbolt</v>
      </c>
      <c r="C12" s="75" t="str" cm="1">
        <f t="array" ref="C12">IFERROR(INDEX(N12:AM12,1,MATCH(FU12,CHOOSE({1,2,3,4},IF(U12="",0,U12),IF(AC12="",0,AC12),IF(AK12="",0,AK12),IF(AS12="",0,AS12)),0)*8-6),"")</f>
        <v>Electric</v>
      </c>
      <c r="D12" s="75" cm="1">
        <f t="array" ref="D12">IFERROR(INDEX(N12:AS12,1,MATCH(FU12,CHOOSE({1,2,3,4},IF(U12="",0,U12),IF(AC12="",0,AC12),IF(AK12="",0,AK12),IF(AS12="",0,AS12)),0)*8-3),"")</f>
        <v>2</v>
      </c>
      <c r="E12" s="76" t="str">
        <f t="shared" si="0"/>
        <v>374.03*</v>
      </c>
      <c r="F12" s="77" t="str">
        <f t="shared" si="1"/>
        <v>217.63</v>
      </c>
      <c r="G12" s="79">
        <f t="shared" si="2"/>
        <v>1.72</v>
      </c>
      <c r="H12" s="75" t="str" cm="1">
        <f t="array" ref="H12">IF($A12="","",IF(EC12&lt;&gt;"",EC12,_xlfn.LET(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DP12,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DQ12,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DR12,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DS12,
    _xlpm.teamType1, INDEX(TeamData[Type1],MATCH(A12,TeamData[Pokemon],0)),
    _xlpm.teamType2, INDEX(TeamData[Type2],MATCH(A12,TeamData[Pokemon],0)),
    _xlpm.teamDEF, INDEX(TeamData[DEF],MATCH(A12,TeamData[Pokemon],0)),
    _xlpm.teamSPD, INDEX(TeamData[SPD],MATCH(A12,TeamData[Pokemon],0)),
    _xlpm.teamATK, INDEX(TeamData[ATK],MATCH(A12,TeamData[Pokemon],0)),
    _xlpm.oppATK, $AU12,
    _xlpm.oppDEF, $AV12,
    _xlpm.oppSPA, $AW12,
    _xlpm.oppType1, $N$2,
    _xlpm.oppType2, $O$2,
    _xlpm.intimidateMod, IF($BB12="Intimidate",0.667,1),
    _xlpm.typeEff1, IFERROR(INDEX(TypeChart[],MATCH(_xlpm.move1Type,TypeChart[AttackType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→],0),MATCH(_xlpm.teamType2,TypeChart[#Headers],0))),0),
    _xlpm.typeEff2, IFERROR(INDEX(TypeChart[],MATCH(_xlpm.move2Type,TypeChart[AttackType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→],0),MATCH(_xlpm.teamType2,TypeChart[#Headers],0))),0),
    _xlpm.typeEff3, IFERROR(INDEX(TypeChart[],MATCH(_xlpm.move3Type,TypeChart[AttackType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→],0),MATCH(_xlpm.teamType2,TypeChart[#Headers],0))),0),
    _xlpm.typeEff4, IFERROR(INDEX(TypeChart[],MATCH(_xlpm.move4Type,TypeChart[AttackType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→],0),MATCH(_xlpm.teamType2,TypeChart[#Headers],0))),0),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IF(_xlpm.move1Cat="Special", _xlpm.teamSPD, 1))),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IF(_xlpm.move2Cat="Special", _xlpm.teamSPD, 1))),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IF(_xlpm.move3Cat="Special", _xlpm.teamSPD, 1))),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IF(_xlpm.move4Cat="Special", _xlpm.teamSPD, 1))),
    _xlpm.score1, IF(OR(_xlpm.move1Power="Varies", _xlpm.move1Cat="Status", _xlpm.move1DmgMethod="Fixed", _xlpm.move1DmgMethod="OHKO"), 0, IFERROR(_xlpm.move1Power * _xlpm.hits1 * _xlpm.typeEff1 * _xlpm.stab1 * $BZ12 * _xlpm.atkStat1 / _xlpm.defStat1, 0)),
    _xlpm.score2, IF(OR(_xlpm.move2Power="Varies", _xlpm.move2Cat="Status", _xlpm.move2DmgMethod="Fixed", _xlpm.move2DmgMethod="OHKO"), 0, IFERROR(_xlpm.move2Power * _xlpm.hits2 * _xlpm.typeEff2 * _xlpm.stab2 * $CA12 * _xlpm.atkStat2 / _xlpm.defStat2, 0)),
    _xlpm.score3, IF(OR(_xlpm.move3Power="Varies", _xlpm.move3Cat="Status", _xlpm.move3DmgMethod="Fixed", _xlpm.move3DmgMethod="OHKO"), 0, IFERROR(_xlpm.move3Power * _xlpm.hits3 * _xlpm.typeEff3 * _xlpm.stab3 * $CB12 * _xlpm.atkStat3 / _xlpm.defStat3, 0)),
    _xlpm.score4, IF(OR(_xlpm.move4Power="Varies", _xlpm.move4Cat="Status", _xlpm.move4DmgMethod="Fixed", _xlpm.move4DmgMethod="OHKO"), 0, IFERROR(_xlpm.move4Power * _xlpm.hits4 * _xlpm.typeEff4 * _xlpm.stab4 * $CC12 * _xlpm.atkStat4 / _xlpm.defStat4, 0)),
    _xlpm.maxScore, MAX(_xlpm.score1*$EN12, _xlpm.score2*$EO12, _xlpm.score3*$EP12, _xlpm.score4*$EQ12),
    _xlpm.defaultMove, IF(AND(_xlpm.move1&lt;&gt;"",OR(_xlpm.move1Cat="Physical",_xlpm.move1Cat="Special")), _xlpm.move1 &amp; " (" &amp; _xlpm.move1Cat &amp; ")",
                 IF(AND(_xlpm.move2&lt;&gt;"",OR(_xlpm.move2Cat="Physical",_xlpm.move2Cat="Special")), _xlpm.move2 &amp; " (" &amp; _xlpm.move2Cat &amp; ")",
                 IF(AND(_xlpm.move3&lt;&gt;"",OR(_xlpm.move3Cat="Physical",_xlpm.move3Cat="Special")), _xlpm.move3 &amp; " (" &amp; _xlpm.move3Cat &amp; ")",
                 IF(AND(_xlpm.move4&lt;&gt;"",OR(_xlpm.move4Cat="Physical",_xlpm.move4Cat="Special")), _xlpm.move4 &amp; " (" &amp; _xlpm.move4Cat &amp; ")", "")))),
    IF(_xlpm.maxScore=0, _xlpm.defaultMove,
        IF(AND($EN12,_xlpm.score1*$EN12=_xlpm.maxScore), _xlpm.move1 &amp; " (" &amp; _xlpm.move1Cat &amp; ")",
        IF(AND($EO12,_xlpm.score2*$EO12=_xlpm.maxScore), _xlpm.move2 &amp; " (" &amp; _xlpm.move2Cat &amp; ")",
        IF(AND($EP12,_xlpm.score3*$EP12=_xlpm.maxScore), _xlpm.move3 &amp; " (" &amp; _xlpm.move3Cat &amp; ")",
        IF(AND($EQ12,_xlpm.score4*$EQ12=_xlpm.maxScore), _xlpm.move4 &amp; " (" &amp; _xlpm.move4Cat &amp; ")", "")))))
)))</f>
        <v>First Impression (Physical)</v>
      </c>
      <c r="I12" s="75">
        <f>IF(A12="","",IF(DW12,0,INDEX(TypeChart[],MATCH(K12,TypeChart[AttackType ↓ / DefendingType →],0),MATCH(INDEX(TeamData[Type1],MATCH(A12,TeamData[Pokemon],0)),TypeChart[#Headers],0))*IF(INDEX(TeamData[Type2],MATCH(A12,TeamData[Pokemon],0))="",1,INDEX(TypeChart[],MATCH(K12,TypeChart[AttackType ↓ / DefendingType →],0),MATCH(INDEX(TeamData[Type2],MATCH(A12,TeamData[Pokemon],0)),TypeChart[#Headers],0)))))</f>
        <v>1</v>
      </c>
      <c r="J12" s="85" t="str">
        <f t="shared" si="3"/>
        <v>Possible OHKO; Opponent has priority</v>
      </c>
      <c r="K12" s="30" t="str" cm="1">
        <f t="array" ref="K12">IF(A12="","",_xlfn.LET(
        _xlpm.moveName, LEFT(H12,IFERROR(FIND(" (",H12)-1,LEN(H12))),
        _xlpm.oppMove1, INDEX(Opponent[Move1],MATCH(1,(Opponent[Pokemon]=$B$4)*(Opponent[Battle]=$B$3),0)),
        _xlpm.oppMove2, INDEX(Opponent[Move2],MATCH(1,(Opponent[Pokemon]=$B$4)*(Opponent[Battle]=$B$3),0)),
        _xlpm.oppMove3, INDEX(Opponent[Move3],MATCH(1,(Opponent[Pokemon]=$B$4)*(Opponent[Battle]=$B$3),0)),
        _xlpm.oppMove4, INDEX(Opponent[Move4],MATCH(1,(Opponent[Pokemon]=$B$4)*(Opponent[Battle]=$B$3),0)),
        IF(_xlpm.moveName=_xlpm.oppMove1, INDEX(Opponent[Move1Type],MATCH(1,(Opponent[Pokemon]=$B$4)*(Opponent[Battle]=$B$3),0)),
        IF(_xlpm.moveName=_xlpm.oppMove2, INDEX(Opponent[Move2Type],MATCH(1,(Opponent[Pokemon]=$B$4)*(Opponent[Battle]=$B$3),0)),
        IF(_xlpm.moveName=_xlpm.oppMove3, INDEX(Opponent[Move3Type],MATCH(1,(Opponent[Pokemon]=$B$4)*(Opponent[Battle]=$B$3),0)),
        IF(_xlpm.moveName=_xlpm.oppMove4, INDEX(Opponent[Move4Type],MATCH(1,(Opponent[Pokemon]=$B$4)*(Opponent[Battle]=$B$3),0)),
        ""))))
    ))</f>
        <v>Bug</v>
      </c>
      <c r="L12" s="30"/>
      <c r="M12" s="30"/>
      <c r="N12" s="30" t="str">
        <f>_xlfn.XLOOKUP($A12,TeamData[Pokemon],TeamData[Move1])</f>
        <v>Dig</v>
      </c>
      <c r="O12" s="30" t="str">
        <f>_xlfn.XLOOKUP($A12,TeamData[Pokemon],TeamData[Move1Type])</f>
        <v>Ground</v>
      </c>
      <c r="P12" s="30">
        <f>_xlfn.XLOOKUP($A12,TeamData[Pokemon],TeamData[Move1Power])</f>
        <v>80</v>
      </c>
      <c r="Q12" s="30" t="str">
        <f>_xlfn.XLOOKUP($A12,TeamData[Pokemon],TeamData[Move1Category])</f>
        <v>Physical</v>
      </c>
      <c r="R12" s="30">
        <f>INDEX(TypeChart[],MATCH(O12,TypeChart[AttackType ↓ / DefendingType →],0),MATCH($N$2,TypeChart[#Headers],0))
*
IF(OR($O$2="",$O$2=0),1,
INDEX(TypeChart[],MATCH(O12,TypeChart[AttackType ↓ / DefendingType →],0),MATCH($O$2,TypeChart[#Headers],0)))</f>
        <v>0.5</v>
      </c>
      <c r="S12" s="30">
        <f>IF(OR(O12=INDEX(TeamData[Type1],MATCH(A12,TeamData[Pokemon],0)),O12=INDEX(TeamData[Type2],MATCH(A12,TeamData[Pokemon],0))),$BH12,1)</f>
        <v>1</v>
      </c>
      <c r="T12" s="30">
        <f>R12*S12</f>
        <v>0.5</v>
      </c>
      <c r="U12" s="30" cm="1">
        <f t="array" ref="U12">_xlfn.LET(
    _xlpm.dmgMethod, DL12,
    _xlpm.movePower, P12,
    _xlpm.moveCategory, Q12,
    _xlpm.moveType, O12,
    _xlpm.moveHits, IFERROR(VLOOKUP(N12,MoveData[],6,FALSE),1),
    _xlpm.effectiveness, R12,
    _xlpm.stabMod, S12,
    _xlpm.techMod, $BJ12,
    _xlpm.outMod, $CD12,
    _xlpm.atkMod, $BI12,
    _xlpm.teamATK, _xlfn.XLOOKUP($A12,TeamData[Pokemon],TeamData[ATK]),
    _xlpm.teamSPA, _xlfn.XLOOKUP($A12,TeamData[Pokemon],TeamData[SPA]),
    _xlpm.teamDEF, _xlfn.XLOOKUP($A12,TeamData[Pokemon],TeamData[DEF]),
    _xlpm.oppATK, $AU12,
    _xlpm.oppDEF, $AV12,
    _xlpm.oppSPD, $AX12,
    _xlpm.heldItem, _xlfn.XLOOKUP($A12,TeamData[Pokemon],TeamData[Held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33.9832528574048</v>
      </c>
      <c r="V12" s="30" t="str">
        <f>_xlfn.XLOOKUP($A12,TeamData[Pokemon],TeamData[Move2])</f>
        <v>Thunderbolt</v>
      </c>
      <c r="W12" s="30" t="str">
        <f>_xlfn.XLOOKUP($A12,TeamData[Pokemon],TeamData[Move2Type])</f>
        <v>Electric</v>
      </c>
      <c r="X12" s="30">
        <f>_xlfn.XLOOKUP($A12,TeamData[Pokemon],TeamData[Move2Power])</f>
        <v>90</v>
      </c>
      <c r="Y12" s="30" t="str">
        <f>_xlfn.XLOOKUP($A12,TeamData[Pokemon],TeamData[Move2Category])</f>
        <v>Special</v>
      </c>
      <c r="Z12" s="30">
        <f>INDEX(TypeChart[],MATCH(W12,TypeChart[AttackType ↓ / DefendingType →],0),MATCH($N$2,TypeChart[#Headers],0))*IF(OR($O$2="",$O$2=0),1,INDEX(TypeChart[],MATCH(W12,TypeChart[AttackType ↓ / DefendingType →],0),MATCH($O$2,TypeChart[#Headers],0)))</f>
        <v>2</v>
      </c>
      <c r="AA12" s="30">
        <f>IF(OR(W12=INDEX(TeamData[Type1],MATCH(A12,TeamData[Pokemon],0)),W12=INDEX(TeamData[Type2],MATCH(A12,TeamData[Pokemon],0))),$BH12,1)</f>
        <v>1.5</v>
      </c>
      <c r="AB12" s="30">
        <f>Z12*AA12</f>
        <v>3</v>
      </c>
      <c r="AC12" s="30" cm="1">
        <f t="array" ref="AC12">_xlfn.LET(
    _xlpm.dmgMethod, DM12,
    _xlpm.movePower, X12,
    _xlpm.moveCategory, Y12,
    _xlpm.moveType, W12,
    _xlpm.moveHits, IFERROR(VLOOKUP(V12,MoveData[],6,FALSE),1),
    _xlpm.effectiveness, Z12,
    _xlpm.stabMod, AA12,
    _xlpm.techMod, $BK12,
    _xlpm.outMod, $CE12,
    _xlpm.atkMod, $BI12,
    _xlpm.teamATK, _xlfn.XLOOKUP($A12,TeamData[Pokemon],TeamData[ATK]),
    _xlpm.teamSPA, _xlfn.XLOOKUP($A12,TeamData[Pokemon],TeamData[SPA]),
    _xlpm.teamDEF, _xlfn.XLOOKUP($A12,TeamData[Pokemon],TeamData[DEF]),
    _xlpm.oppATK, $AU12,
    _xlpm.oppDEF, $AV12,
    _xlpm.oppSPD, $AX12,
    _xlpm.heldItem, _xlfn.XLOOKUP($A12,TeamData[Pokemon],TeamData[Held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374.03427759524021</v>
      </c>
      <c r="AD12" s="30" t="str">
        <f>_xlfn.XLOOKUP($A12,TeamData[Pokemon],TeamData[Move3])</f>
        <v>Wild Charge</v>
      </c>
      <c r="AE12" s="30" t="str">
        <f>_xlfn.XLOOKUP($A12,TeamData[Pokemon],TeamData[Move3Type])</f>
        <v>Electric</v>
      </c>
      <c r="AF12" s="30">
        <f>_xlfn.XLOOKUP($A12,TeamData[Pokemon],TeamData[Move3Power])</f>
        <v>90</v>
      </c>
      <c r="AG12" s="30" t="str">
        <f>_xlfn.XLOOKUP($A12,TeamData[Pokemon],TeamData[Move3Category])</f>
        <v>Physical</v>
      </c>
      <c r="AH12" s="30">
        <f>INDEX(TypeChart[],MATCH(AE12,TypeChart[AttackType ↓ / DefendingType →],0),MATCH($N$2,TypeChart[#Headers],0))*IF(OR($O$2="",$O$2=0),1,INDEX(TypeChart[],MATCH(AE12,TypeChart[AttackType ↓ / DefendingType →],0),MATCH($O$2,TypeChart[#Headers],0)))</f>
        <v>2</v>
      </c>
      <c r="AI12" s="30">
        <f>IF(OR(AE12=INDEX(TeamData[Type1],MATCH(A12,TeamData[Pokemon],0)),AE12=INDEX(TeamData[Type2],MATCH(A12,TeamData[Pokemon],0))),$BH12,1)</f>
        <v>1.5</v>
      </c>
      <c r="AJ12" s="30">
        <f>AH12*AI12</f>
        <v>3</v>
      </c>
      <c r="AK12" s="30" cm="1">
        <f t="array" ref="AK12">_xlfn.LET(
    _xlpm.dmgMethod, DN12,
    _xlpm.movePower, AF12,
    _xlpm.moveCategory, AG12,
    _xlpm.moveType, AE12,
    _xlpm.moveHits, IFERROR(VLOOKUP(AD12,MoveData[],6,FALSE),1),
    _xlpm.effectiveness, AH12,
    _xlpm.stabMod, AI12,
    _xlpm.techMod, $BL12,
    _xlpm.outMod, $CF12,
    _xlpm.atkMod, $BI12,
    _xlpm.teamATK, _xlfn.XLOOKUP($A12,TeamData[Pokemon],TeamData[ATK]),
    _xlpm.teamSPA, _xlfn.XLOOKUP($A12,TeamData[Pokemon],TeamData[SPA]),
    _xlpm.teamDEF, _xlfn.XLOOKUP($A12,TeamData[Pokemon],TeamData[DEF]),
    _xlpm.oppATK, $AU12,
    _xlpm.oppDEF, $AV12,
    _xlpm.oppSPD, $AX12,
    _xlpm.heldItem, _xlfn.XLOOKUP($A12,TeamData[Pokemon],TeamData[Held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275.2643481449789</v>
      </c>
      <c r="AL12" s="30" t="str">
        <f>_xlfn.XLOOKUP($A12,TeamData[Pokemon],TeamData[Move4])</f>
        <v>Surf</v>
      </c>
      <c r="AM12" s="30" t="str">
        <f>_xlfn.XLOOKUP($A12,TeamData[Pokemon],TeamData[Move4Type])</f>
        <v>Water</v>
      </c>
      <c r="AN12" s="30">
        <f>_xlfn.XLOOKUP($A12,TeamData[Pokemon],TeamData[Move4Power])</f>
        <v>90</v>
      </c>
      <c r="AO12" s="30" t="str">
        <f>_xlfn.XLOOKUP($A12,TeamData[Pokemon],TeamData[Move4Category])</f>
        <v>Special</v>
      </c>
      <c r="AP12" s="30">
        <f>INDEX(TypeChart[],MATCH(AM12,TypeChart[AttackType ↓ / DefendingType →],0),MATCH($N$2,TypeChart[#Headers],0))*IF(OR($O$2="",$O$2=0),1,INDEX(TypeChart[],MATCH(AM12,TypeChart[AttackType ↓ / DefendingType →],0),MATCH($O$2,TypeChart[#Headers],0)))</f>
        <v>0.5</v>
      </c>
      <c r="AQ12" s="30">
        <f>IF(OR(AM12=INDEX(TeamData[Type1],MATCH(A12,TeamData[Pokemon],0)),AM12=INDEX(TeamData[Type2],MATCH(A12,TeamData[Pokemon],0))),$BH12,1)</f>
        <v>1</v>
      </c>
      <c r="AR12" s="30">
        <f>AP12*AQ12</f>
        <v>0.5</v>
      </c>
      <c r="AS12" s="30" cm="1">
        <f t="array" ref="AS12">_xlfn.LET(
    _xlpm.dmgMethod, DO12,
    _xlpm.movePower, AN12,
    _xlpm.moveCategory, AO12,
    _xlpm.moveType, AM12,
    _xlpm.moveHits, IFERROR(VLOOKUP(AL12,MoveData[],6,FALSE),1),
    _xlpm.effectiveness, AP12,
    _xlpm.stabMod, AQ12,
    _xlpm.techMod, $BM12,
    _xlpm.outMod, $CG12,
    _xlpm.atkMod, $BI12,
    _xlpm.teamATK, _xlfn.XLOOKUP($A12,TeamData[Pokemon],TeamData[ATK]),
    _xlpm.teamSPA, _xlfn.XLOOKUP($A12,TeamData[Pokemon],TeamData[SPA]),
    _xlpm.teamDEF, _xlfn.XLOOKUP($A12,TeamData[Pokemon],TeamData[DEF]),
    _xlpm.oppATK, $AU12,
    _xlpm.oppDEF, $AV12,
    _xlpm.oppSPD, $AX12,
    _xlpm.heldItem, _xlfn.XLOOKUP($A12,TeamData[Pokemon],TeamData[Held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51.949205221561144</v>
      </c>
      <c r="AT12" s="30" cm="1">
        <f t="array" ref="AT12">IFERROR(INDEX(Opponent[Level],MATCH(1,(Opponent[Trainer]=$B$2)*(Opponent[Battle]=$B$3)*(Opponent[Pokemon]=$B$4),0)),0)</f>
        <v>51</v>
      </c>
      <c r="AU12" s="30" cm="1">
        <f t="array" ref="AU12">IFERROR(((2*INDEX(Opponent[ATK],MATCH(1,(Opponent[Trainer]=$B$2)*(Opponent[Battle]=$B$3)*(Opponent[Pokemon]=$B$4),0))+31)*$AT12/100)+5,0)</f>
        <v>148.31</v>
      </c>
      <c r="AV12" s="30" cm="1">
        <f t="array" ref="AV12">IFERROR(((2*INDEX(Opponent[DEF],MATCH(1,(Opponent[Trainer]=$B$2)*(Opponent[Battle]=$B$3)*(Opponent[Pokemon]=$B$4),0))+31)*$AT12/100)+5,0)</f>
        <v>163.61000000000001</v>
      </c>
      <c r="AW12" s="30" cm="1">
        <f t="array" ref="AW12">IFERROR(((2*INDEX(Opponent[SPA],MATCH(1,(Opponent[Trainer]=$B$2)*(Opponent[Battle]=$B$3)*(Opponent[Pokemon]=$B$4),0))+31)*$AT12/100)+5,0)</f>
        <v>82.01</v>
      </c>
      <c r="AX12" s="30" cm="1">
        <f t="array" ref="AX12">IFERROR(((2*INDEX(Opponent[SPD],MATCH(1,(Opponent[Trainer]=$B$2)*(Opponent[Battle]=$B$3)*(Opponent[Pokemon]=$B$4),0))+31)*$AT12/100)+5,0)</f>
        <v>112.61</v>
      </c>
      <c r="AY12" s="30" cm="1">
        <f t="array" ref="AY12">IFERROR(((2*INDEX(Opponent[SPE],MATCH(1,(Opponent[Trainer]=$B$2)*(Opponent[Battle]=$B$3)*(Opponent[Pokemon]=$B$4),0))+31)*$AT12/100)+5,0)</f>
        <v>61.61</v>
      </c>
      <c r="AZ12" s="30" cm="1">
        <f t="array" ref="AZ12">IFERROR(((2*INDEX(Opponent[HP],MATCH(1,(Opponent[Trainer]=$B$2)*(Opponent[Battle]=$B$3)*(Opponent[Pokemon]=$B$4),0))+31)*Table8[[#This Row],[OpponentLevel]]/100)+Table8[[#This Row],[OpponentLevel]]+10,0)</f>
        <v>153.31</v>
      </c>
      <c r="BA12" s="30">
        <f>IF(OR(Table8[[#This Row],[ApproxHP]]="",Table8[[#This Row],[ApproxHP]]=0),"",IFERROR(Table8[[#This Row],[BestMoveScoreNumeric]]/Table8[[#This Row],[ApproxHP]],""))</f>
        <v>2.4397252468543487</v>
      </c>
      <c r="BB12" s="30">
        <f>IFERROR(VLOOKUP(A12,TeamData[],30,FALSE),"")</f>
        <v>100</v>
      </c>
      <c r="BC12" s="30" t="str" cm="1">
        <f t="array" ref="BC12">IFERROR(INDEX(Opponent[Ability],MATCH(1,(Opponent[Pokemon]=$B$4)*(Opponent[Battle]=$B$3)*(Opponent[Trainer]=$B$2),0)),"")</f>
        <v>Emergency Exit</v>
      </c>
      <c r="BD12" s="30" cm="1">
        <f t="array" ref="BD12">IF(A12="",1,IF($BB12="",1,IF(SUMPRODUCT((AbilityRules[Ability]=$BB12)*(AbilityRules[Effect]="Immunity")*(AbilityRules[TargetType]=IFERROR(INDEX(Opponent[Move1Type],MATCH(1,(Opponent[Pokemon]=$B$4)*(Opponent[Battle]=$B$3)*(Opponent[Trainer]=$B$2),0)),"")))&gt;0,0,IF(SUMPRODUCT((AbilityRules[Ability]=$BB12)*(AbilityRules[Effect]="Reduction")*(AbilityRules[TargetType]=IFERROR(INDEX(Opponent[Move1Type],MATCH(1,(Opponent[Pokemon]=$B$4)*(Opponent[Battle]=$B$3)*(Opponent[Trainer]=$B$2),0)),"")))&gt;0,0.5,1))))</f>
        <v>1</v>
      </c>
      <c r="BE12" s="30" cm="1">
        <f t="array" ref="BE12">IF(A12="",1,IF($BB12="",1,IF(SUMPRODUCT((AbilityRules[Ability]=$BB12)*(AbilityRules[Effect]="Immunity")*(AbilityRules[TargetType]=IFERROR(INDEX(Opponent[Move2Type],MATCH(1,(Opponent[Pokemon]=$B$4)*(Opponent[Battle]=$B$3)*(Opponent[Trainer]=$B$2),0)),"")))&gt;0,0,IF(SUMPRODUCT((AbilityRules[Ability]=$BB12)*(AbilityRules[Effect]="Reduction")*(AbilityRules[TargetType]=IFERROR(INDEX(Opponent[Move2Type],MATCH(1,(Opponent[Pokemon]=$B$4)*(Opponent[Battle]=$B$3)*(Opponent[Trainer]=$B$2),0)),"")))&gt;0,0.5,1))))</f>
        <v>1</v>
      </c>
      <c r="BF12" s="30" cm="1">
        <f t="array" ref="BF12">IF(A12="",1,IF($BB12="",1,IF(SUMPRODUCT((AbilityRules[Ability]=$BB12)*(AbilityRules[Effect]="Immunity")*(AbilityRules[TargetType]=IFERROR(INDEX(Opponent[Move3Type],MATCH(1,(Opponent[Pokemon]=$B$4)*(Opponent[Battle]=$B$3)*(Opponent[Trainer]=$B$2),0)),"")))&gt;0,0,IF(SUMPRODUCT((AbilityRules[Ability]=$BB12)*(AbilityRules[Effect]="Reduction")*(AbilityRules[TargetType]=IFERROR(INDEX(Opponent[Move3Type],MATCH(1,(Opponent[Pokemon]=$B$4)*(Opponent[Battle]=$B$3)*(Opponent[Trainer]=$B$2),0)),"")))&gt;0,0.5,1))))</f>
        <v>1</v>
      </c>
      <c r="BG12" s="30" cm="1">
        <f t="array" ref="BG12">IF(A12="",1,IF($BB12="",1,IF(SUMPRODUCT((AbilityRules[Ability]=$BB12)*(AbilityRules[Effect]="Immunity")*(AbilityRules[TargetType]=IFERROR(INDEX(Opponent[Move4Type],MATCH(1,(Opponent[Pokemon]=$B$4)*(Opponent[Battle]=$B$3)*(Opponent[Trainer]=$B$2),0)),"")))&gt;0,0,IF(SUMPRODUCT((AbilityRules[Ability]=$BB12)*(AbilityRules[Effect]="Reduction")*(AbilityRules[TargetType]=IFERROR(INDEX(Opponent[Move4Type],MATCH(1,(Opponent[Pokemon]=$B$4)*(Opponent[Battle]=$B$3)*(Opponent[Trainer]=$B$2),0)),"")))&gt;0,0.5,1))))</f>
        <v>1</v>
      </c>
      <c r="BH12" s="30">
        <f t="shared" si="8"/>
        <v>1.5</v>
      </c>
      <c r="BI12" s="30">
        <f t="shared" si="9"/>
        <v>1</v>
      </c>
      <c r="BJ12" s="30">
        <f>IF(A12="",1,IF(AND($BB12="Technician",IFERROR(INDEX(TeamData[Move1Power],MATCH(A12,TeamData[Pokemon],0)),0)&lt;=60,IFERROR(INDEX(TeamData[Move1Power],MATCH(A12,TeamData[Pokemon],0)),0)&gt;0),1.5,1))</f>
        <v>1</v>
      </c>
      <c r="BK12" s="30">
        <f>IF(A12="",1,IF(AND($BB12="Technician",IFERROR(INDEX(TeamData[Move2Power],MATCH(A12,TeamData[Pokemon],0)),0)&lt;=60,IFERROR(INDEX(TeamData[Move2Power],MATCH(A12,TeamData[Pokemon],0)),0)&gt;0),1.5,1))</f>
        <v>1</v>
      </c>
      <c r="BL12" s="30">
        <f>IF(A12="",1,IF(AND($BB12="Technician",IFERROR(INDEX(TeamData[Move3Power],MATCH(A12,TeamData[Pokemon],0)),0)&lt;=60,IFERROR(INDEX(TeamData[Move3Power],MATCH(A12,TeamData[Pokemon],0)),0)&gt;0),1.5,1))</f>
        <v>1</v>
      </c>
      <c r="BM12" s="30">
        <f>IF(A12="",1,IF(AND($BB12="Technician",IFERROR(INDEX(TeamData[Move4Power],MATCH(A12,TeamData[Pokemon],0)),0)&lt;=60,IFERROR(INDEX(TeamData[Move4Power],MATCH(A12,TeamData[Pokemon],0)),0)&gt;0),1.5,1))</f>
        <v>1</v>
      </c>
      <c r="BN12" s="30" t="str" cm="1">
        <f t="array" ref="BN12">IFERROR(INDEX(Opponent[Move1Type],MATCH(1,(Opponent[Pokemon]=$B$4)*(Opponent[Battle]=$B$3)*(Opponent[Trainer]=$B$2),0)),"")</f>
        <v>Bug</v>
      </c>
      <c r="BO12" s="30" t="str" cm="1">
        <f t="array" ref="BO12">IFERROR(INDEX(Opponent[Move2Type],MATCH(1,(Opponent[Pokemon]=$B$4)*(Opponent[Battle]=$B$3)*(Opponent[Trainer]=$B$2),0)),"")</f>
        <v>Water</v>
      </c>
      <c r="BP12" s="30" t="str" cm="1">
        <f t="array" ref="BP12">IFERROR(INDEX(Opponent[Move3Type],MATCH(1,(Opponent[Pokemon]=$B$4)*(Opponent[Battle]=$B$3)*(Opponent[Trainer]=$B$2),0)),"")</f>
        <v>Normal</v>
      </c>
      <c r="BQ12" s="30" t="str" cm="1">
        <f t="array" ref="BQ12">IFERROR(INDEX(Opponent[Move4Type],MATCH(1,(Opponent[Pokemon]=$B$4)*(Opponent[Battle]=$B$3)*(Opponent[Trainer]=$B$2),0)),"")</f>
        <v>Ghost</v>
      </c>
      <c r="BR12" s="30">
        <f>IF(OR(A12="",BN12=""),0,IFERROR(VLOOKUP(BN12,TypeChart[],MATCH(VLOOKUP(A12,TeamData[],2,FALSE),TypeChart[#Headers],0),FALSE)*IF(VLOOKUP(A12,TeamData[],3,FALSE)="",1,VLOOKUP(BN12,TypeChart[],MATCH(VLOOKUP(A12,TeamData[],3,FALSE),TypeChart[#Headers],0),FALSE)),0))</f>
        <v>1</v>
      </c>
      <c r="BS12" s="30">
        <f>IF(OR(A12="",BO12=""),0,IFERROR(VLOOKUP(BO12,TypeChart[],MATCH(VLOOKUP(A12,TeamData[],2,FALSE),TypeChart[#Headers],0),FALSE)*IF(VLOOKUP(A12,TeamData[],3,FALSE)="",1,VLOOKUP(BO12,TypeChart[],MATCH(VLOOKUP(A12,TeamData[],3,FALSE),TypeChart[#Headers],0),FALSE)),0))</f>
        <v>1</v>
      </c>
      <c r="BT12" s="30">
        <f>IF(OR(A12="",BP12=""),0,IFERROR(VLOOKUP(BP12,TypeChart[],MATCH(VLOOKUP(A12,TeamData[],2,FALSE),TypeChart[#Headers],0),FALSE)*IF(VLOOKUP(A12,TeamData[],3,FALSE)="",1,VLOOKUP(BP12,TypeChart[],MATCH(VLOOKUP(A12,TeamData[],3,FALSE),TypeChart[#Headers],0),FALSE)),0))</f>
        <v>1</v>
      </c>
      <c r="BU12" s="30">
        <f>IF(OR(A12="",BQ12=""),0,IFERROR(VLOOKUP(BQ12,TypeChart[],MATCH(VLOOKUP(A12,TeamData[],2,FALSE),TypeChart[#Headers],0),FALSE)*IF(VLOOKUP(A12,TeamData[],3,FALSE)="",1,VLOOKUP(BQ12,TypeChart[],MATCH(VLOOKUP(A12,TeamData[],3,FALSE),TypeChart[#Headers],0),FALSE)),0))</f>
        <v>1</v>
      </c>
      <c r="BV12" s="30">
        <f t="shared" si="45"/>
        <v>0</v>
      </c>
      <c r="BW12" s="30">
        <f t="shared" si="45"/>
        <v>0</v>
      </c>
      <c r="BX12" s="30">
        <f t="shared" si="45"/>
        <v>0</v>
      </c>
      <c r="BY12" s="30">
        <f t="shared" si="45"/>
        <v>0</v>
      </c>
      <c r="BZ12" s="30">
        <f>BD12*IF(AND(BV12=1,OR(BB12="Filter",BB12="Solid Rock",BB12="Prism Armor")),0.75,1)</f>
        <v>1</v>
      </c>
      <c r="CA12" s="30">
        <f>BE12*IF(AND(BW12=1,OR(BB12="Filter",BB12="Solid Rock",BB12="Prism Armor")),0.75,1)</f>
        <v>1</v>
      </c>
      <c r="CB12" s="30">
        <f>BF12*IF(AND(BX12=1,OR(BB12="Filter",BB12="Solid Rock",BB12="Prism Armor")),0.75,1)</f>
        <v>1</v>
      </c>
      <c r="CC12" s="30">
        <f>BG12*IF(AND(BY12=1,OR(BB12="Filter",BB12="Solid Rock",BB12="Prism Armor")),0.75,1)</f>
        <v>1</v>
      </c>
      <c r="CD12" s="30">
        <f t="shared" si="18"/>
        <v>1</v>
      </c>
      <c r="CE12" s="30">
        <f t="shared" si="19"/>
        <v>1</v>
      </c>
      <c r="CF12" s="30">
        <f t="shared" si="20"/>
        <v>1</v>
      </c>
      <c r="CG12" s="30">
        <f t="shared" si="21"/>
        <v>1</v>
      </c>
      <c r="CH12" s="30">
        <f t="shared" si="22"/>
        <v>0</v>
      </c>
      <c r="CI12" s="30">
        <f t="shared" si="23"/>
        <v>0</v>
      </c>
      <c r="CJ12" s="30">
        <f t="shared" si="24"/>
        <v>0</v>
      </c>
      <c r="CK12" s="30" t="e">
        <f>IF(A12="",0,IF(E12&gt;AVERAGEIF($A$10:$A$15,"&lt;&gt;",$E$10:$E$15)*1.5,1,0))</f>
        <v>#DIV/0!</v>
      </c>
      <c r="CL12" s="30">
        <f t="shared" si="25"/>
        <v>6</v>
      </c>
      <c r="CM12">
        <f t="shared" si="26"/>
        <v>1.1564121571534469</v>
      </c>
      <c r="CN12" s="30" cm="1">
        <f t="array" ref="CN12">IF(OR(A12="", FV12="", FV12=0), "", SMALL(IF($A$10:$A$15&lt;&gt;"", $FV$10:$FV$15), 2) / FV12)</f>
        <v>0.85185185185185197</v>
      </c>
      <c r="CO12" s="30">
        <f>IF(OR(A12="",C12=""),0,IF(OR(IFERROR(VLOOKUP(C12,TypeChart[],MATCH($N$2,TypeChart[#Headers],0),FALSE),1)&gt;1,IF($O$2="",FALSE,IFERROR(VLOOKUP(C12,TypeChart[],MATCH($O$2,TypeChart[#Headers],0),FALSE),1)&gt;1)),1,0))</f>
        <v>1</v>
      </c>
      <c r="CP12" s="30">
        <f>IF(A12="","",IF(AND(CO12=1,OR(C12=INDEX(TeamData[Type1],MATCH(A12,TeamData[Pokemon],0)),C12=INDEX(TeamData[Type2],MATCH(A12,TeamData[Pokemon],0)))),1,0))</f>
        <v>1</v>
      </c>
      <c r="CQ12" s="43">
        <f t="shared" si="27"/>
        <v>0</v>
      </c>
      <c r="CR12">
        <f t="shared" si="28"/>
        <v>0</v>
      </c>
      <c r="CS12" t="str">
        <f t="shared" si="29"/>
        <v/>
      </c>
      <c r="CT12" s="30" t="str">
        <f t="shared" si="30"/>
        <v/>
      </c>
      <c r="CU12" s="30" cm="1">
        <f t="array" ref="CU12">IF(A12="","",
        IF(OR(
            AND(OR(BR12=0,BD12=0),IFERROR(INDEX(Opponent[Move1Power],MATCH(1,(Opponent[Pokemon]=$B$4)*(Opponent[Battle]=$B$3)*(Opponent[Trainer]=$B$2),0))*1,0)&gt;=CX12,IFERROR(INDEX(Opponent[Move1Power],MATCH(1,(Opponent[Pokemon]=$B$4)*(Opponent[Battle]=$B$3)*(Opponent[Trainer]=$B$2),0))*1,0)&gt;0),
            AND(OR(BS12=0,BE12=0),IFERROR(INDEX(Opponent[Move2Power],MATCH(1,(Opponent[Pokemon]=$B$4)*(Opponent[Battle]=$B$3)*(Opponent[Trainer]=$B$2),0))*1,0)&gt;=CX12,IFERROR(INDEX(Opponent[Move2Power],MATCH(1,(Opponent[Pokemon]=$B$4)*(Opponent[Battle]=$B$3)*(Opponent[Trainer]=$B$2),0))*1,0)&gt;0),
            AND(OR(BT12=0,BF12=0),IFERROR(INDEX(Opponent[Move3Power],MATCH(1,(Opponent[Pokemon]=$B$4)*(Opponent[Battle]=$B$3)*(Opponent[Trainer]=$B$2),0))*1,0)&gt;=CX12,IFERROR(INDEX(Opponent[Move3Power],MATCH(1,(Opponent[Pokemon]=$B$4)*(Opponent[Battle]=$B$3)*(Opponent[Trainer]=$B$2),0))*1,0)&gt;0),
            AND(OR(BU12=0,BG12=0),IFERROR(INDEX(Opponent[Move4Power],MATCH(1,(Opponent[Pokemon]=$B$4)*(Opponent[Battle]=$B$3)*(Opponent[Trainer]=$B$2),0))*1,0)&gt;=CX12,IFERROR(INDEX(Opponent[Move4Power],MATCH(1,(Opponent[Pokemon]=$B$4)*(Opponent[Battle]=$B$3)*(Opponent[Trainer]=$B$2),0))*1,0)&gt;0)
        ),1,0))</f>
        <v>0</v>
      </c>
      <c r="CV12" s="30" t="str" cm="1">
        <f t="array" ref="CV12">IF(CU12=0,"",
        IF(AND(OR(BR12=0,BD12=0),IFERROR(INDEX(Opponent[Move1Power],MATCH(1,(Opponent[Pokemon]=$B$4)*(Opponent[Battle]=$B$3)*(Opponent[Trainer]=$B$2),0))*1,0)&gt;0),BN12,
        IF(AND(OR(BS12=0,BE12=0),IFERROR(INDEX(Opponent[Move2Power],MATCH(1,(Opponent[Pokemon]=$B$4)*(Opponent[Battle]=$B$3)*(Opponent[Trainer]=$B$2),0))*1,0)&gt;0),BO12,
        IF(AND(OR(BT12=0,BF12=0),IFERROR(INDEX(Opponent[Move3Power],MATCH(1,(Opponent[Pokemon]=$B$4)*(Opponent[Battle]=$B$3)*(Opponent[Trainer]=$B$2),0))*1,0)&gt;0),BP12,
        IF(AND(OR(BU12=0,BG12=0),IFERROR(INDEX(Opponent[Move4Power],MATCH(1,(Opponent[Pokemon]=$B$4)*(Opponent[Battle]=$B$3)*(Opponent[Trainer]=$B$2),0))*1,0)&gt;0),BQ12,"")))))</f>
        <v/>
      </c>
      <c r="CW12" s="30" t="e">
        <f t="shared" si="31"/>
        <v>#N/A</v>
      </c>
      <c r="CX12" s="30">
        <f>IF(A12="","",
            VALUE(IFERROR(VLOOKUP(LEFT(H12,FIND(" (",H12)-1),MoveData[],2,FALSE),0)))</f>
        <v>90</v>
      </c>
      <c r="CY12" s="30" cm="1">
        <f t="array" ref="CY12">INDEX(Opponent[Move3Power],MATCH(1,(Opponent[Pokemon]=$B$4)*(Opponent[Battle]=$B$3)*(Opponent[Trainer]=$B$2),0))</f>
        <v>0</v>
      </c>
      <c r="CZ12" s="30" t="b" cm="1">
        <f t="array" ref="CZ12">AND(BT12=0,IFERROR(INDEX(Opponent[Move3Power],MATCH(1,(Opponent[Pokemon]=$B$4)*(Opponent[Battle]=$B$3)*(Opponent[Trainer]=$B$2),0)),0)&gt;=CX12,IFERROR(INDEX(Opponent[Move3Power],MATCH(1,(Opponent[Pokemon]=$B$4)*(Opponent[Battle]=$B$3)*(Opponent[Trainer]=$B$2),0)),0)&gt;0)</f>
        <v>0</v>
      </c>
      <c r="DA12" s="30" t="b">
        <f t="shared" si="32"/>
        <v>0</v>
      </c>
      <c r="DB12" s="30" t="b">
        <f t="shared" si="33"/>
        <v>1</v>
      </c>
      <c r="DC12" s="43" t="b">
        <f>INDEX(TeamData[SPE],MATCH(Calculator[[#This Row],[Team Member]],TeamData[Pokemon],0))&lt;Table8[[#This Row],[ApproxSPE]]</f>
        <v>0</v>
      </c>
      <c r="DD12" s="43">
        <f>_xlfn.LET(
        _xlpm.teamHP, INDEX(TeamData[HP], MATCH(Calculator[[#This Row],[Team Member]], TeamData[Pokemon], 0)),
        _xlpm.incomingScore, Table8[[#This Row],[IncomingWorstScoreNumeric]],
        IF(OR(_xlpm.teamHP="", _xlpm.teamHP=0), "", IFERROR(_xlpm.incomingScore/_xlpm.teamHP, ""))
    )</f>
        <v>1.4605960023344031</v>
      </c>
      <c r="DE12" s="43" t="b">
        <f>_xlfn.LET(
        _xlpm.teamSPE, INDEX(TeamData[SPE], MATCH(Calculator[[#This Row],[Team Member]], TeamData[Pokemon], 0)),
        _xlpm.opponentSPE, Table8[[#This Row],[ApproxSPE]],
        _xlpm.teamSPE &lt; _xlpm.opponentSPE
    )</f>
        <v>0</v>
      </c>
      <c r="DF12" s="43" t="b" cm="1">
        <f t="array" ref="DF12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_xlpm.isDmax, OR(_xlpm.hasGMax, _xlpm.hasMax),
        _xlpm.offensiveThreshold, IF(_xlpm.isDmax, 2, 1),
        _xlpm.meetsOffensiveOHKO, Table8[[#This Row],[BestMoveHPRatio]]&gt;=_xlpm.offensiveThreshold,
        AND(Table8[[#This Row],[TeamMovesSecond]], _xlpm.meetsOffensiveOHKO, Table8[[#This Row],[LikelySurvivesFirstHit]])
    )</f>
        <v>0</v>
      </c>
      <c r="DG12" s="43" t="str" cm="1">
        <f t="array" ref="DG12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IF(_xlpm.hasGMax, "G-Max", IF(_xlpm.hasMax, "Dmax", ""))
    )</f>
        <v/>
      </c>
      <c r="DH12" s="43" t="str">
        <f>IF(Calculator[[#This Row],[Team Member]]="","",_xlfn.LET(
        _xlpm.opponentSPE, Table8[[#This Row],[ApproxSPE]],
        _xlpm.teamSPE, INDEX(TeamData[SPE], MATCH(Calculator[[#This Row],[Team Member]], TeamData[Pokemon], 0)),
        _xlpm.isFaster, _xlpm.teamSPE&gt;_xlpm.opponentSPE,
        _xlpm.hpRatio, Table8[[#This Row],[BestMoveHPRatio]],
        _xlpm.teamMovesSecond, Table8[[#This Row],[TeamMovesSecond]],
        _xlpm.likelySurvives, Table8[[#This Row],[LikelySurvivesFirstHit]],
        _xlpm.incomingScore, Table8[[#This Row],[IncomingWorstScoreNumeric]],
        _xlpm.hasIncomingDamage, _xlpm.incomingScore&gt;0,
        _xlpm.isDmax, Table8[[#This Row],[DmaxNote]]&lt;&gt;"",
        _xlpm.likelyThreshold, IF(_xlpm.isDmax, 6.5, 3),
        _xlpm.possibleThreshold, IF(_xlpm.isDmax, 4.5, 2),
        _xlpm.meetsLikelyOHKO, _xlpm.hpRatio&gt;=_xlpm.likelyThreshold,
        _xlpm.meetsPossibleOHKO, _xlpm.hpRatio&gt;=_xlpm.possibleThreshold,
        IF(AND(_xlpm.teamMovesSecond, _xlpm.hasIncomingDamage, _xlpm.likelySurvives, _xlpm.meetsLikelyOHKO), "Likely Survival OHKO",
        IF(AND(_xlpm.teamMovesSecond, _xlpm.hasIncomingDamage, _xlpm.likelySurvives, _xlpm.meetsPossibleOHKO), "Possible Survival OHKO",
        IF(OR(_xlpm.isFaster, NOT(_xlpm.hasIncomingDamage)),
            IF(_xlpm.meetsLikelyOHKO, "Likely OHKO",
            IF(_xlpm.meetsPossibleOHKO, "Possible OHKO", "")),
            ""
        )))
    ))</f>
        <v>Possible OHKO</v>
      </c>
      <c r="DI12" s="43" t="str">
        <f>""</f>
        <v/>
      </c>
      <c r="DJ12" s="43" t="str">
        <f>""</f>
        <v/>
      </c>
      <c r="DK12" s="43"/>
      <c r="DL12" s="43" t="str">
        <f>IFERROR(VLOOKUP(N12,MoveData[],9,FALSE),"")</f>
        <v>Standard</v>
      </c>
      <c r="DM12" s="43" t="str">
        <f>IFERROR(VLOOKUP(V12,MoveData[],9,FALSE),"")</f>
        <v>Standard</v>
      </c>
      <c r="DN12" s="43" t="str">
        <f>IFERROR(VLOOKUP(AD12,MoveData[],9,FALSE),"")</f>
        <v>Standard</v>
      </c>
      <c r="DO12" s="43" t="str">
        <f>IFERROR(VLOOKUP(AL12,MoveData[],9,FALSE),"")</f>
        <v>Standard</v>
      </c>
      <c r="DP12" s="43" t="str" cm="1">
        <f t="array" ref="DP12">IFERROR(VLOOKUP(INDEX(Opponent[Move1],MATCH(1,(Opponent[Pokemon]=$B$4)*(Opponent[Battle]=$B$3),0)),MoveData[],9,FALSE),"")</f>
        <v>Standard</v>
      </c>
      <c r="DQ12" s="43" t="str" cm="1">
        <f t="array" ref="DQ12">IFERROR(VLOOKUP(INDEX(Opponent[Move2],MATCH(1,(Opponent[Pokemon]=$B$4)*(Opponent[Battle]=$B$3),0)),MoveData[],9,FALSE),"")</f>
        <v>Standard</v>
      </c>
      <c r="DR12" s="43" cm="1">
        <f t="array" ref="DR12">IFERROR(VLOOKUP(INDEX(Opponent[Move3],MATCH(1,(Opponent[Pokemon]=$B$4)*(Opponent[Battle]=$B$3),0)),MoveData[],9,FALSE),"")</f>
        <v>0</v>
      </c>
      <c r="DS12" s="43" t="str" cm="1">
        <f t="array" ref="DS12">IFERROR(VLOOKUP(INDEX(Opponent[Move4],MATCH(1,(Opponent[Pokemon]=$B$4)*(Opponent[Battle]=$B$3),0)),MoveData[],9,FALSE),"")</f>
        <v>Standard</v>
      </c>
      <c r="DT12" s="43">
        <f>IFERROR(VLOOKUP(Calculator[[#This Row],[Best Move]],MoveData[],8,FALSE),0)</f>
        <v>0</v>
      </c>
      <c r="DU12" s="43">
        <f>IF(H12="",0,IFERROR(VLOOKUP(LEFT(H12,FIND(" (",H12)-1),MoveData[],8,FALSE),0))</f>
        <v>2</v>
      </c>
      <c r="DV12" s="43" t="str">
        <f t="shared" si="34"/>
        <v>Opponent has priority</v>
      </c>
      <c r="DW12" s="43" t="b">
        <f t="shared" si="35"/>
        <v>0</v>
      </c>
      <c r="DX12" s="43" cm="1">
        <f t="array" ref="DX12">IFERROR(VALUE(_xlfn.XLOOKUP($B$4&amp;$B$3,Opponent[Pokemon]&amp;Opponent[Battle],Opponent[Move1Power])),0)</f>
        <v>90</v>
      </c>
      <c r="DY12" s="43" cm="1">
        <f t="array" ref="DY12">IFERROR(VALUE(_xlfn.XLOOKUP($B$4&amp;$B$3,Opponent[Pokemon]&amp;Opponent[Battle],Opponent[Move2Power])),0)</f>
        <v>85</v>
      </c>
      <c r="DZ12" s="43" cm="1">
        <f t="array" ref="DZ12">IFERROR(VALUE(_xlfn.XLOOKUP($B$4&amp;$B$3,Opponent[Pokemon]&amp;Opponent[Battle],Opponent[Move3Power])),0)</f>
        <v>0</v>
      </c>
      <c r="EA12" s="43" cm="1">
        <f t="array" ref="EA12">IFERROR(VALUE(_xlfn.XLOOKUP($B$4&amp;$B$3,Opponent[Pokemon]&amp;Opponent[Battle],Opponent[Move4Power])),0)</f>
        <v>70</v>
      </c>
      <c r="EB12" s="43">
        <f t="shared" si="47"/>
        <v>1</v>
      </c>
      <c r="EC12" s="43" t="str" cm="1">
        <f t="array" ref="EC12">IF(NOT(DW12),"",_xlfn.XLOOKUP($B$4&amp;$B$3,Opponent[Pokemon]&amp;Opponent[Battle],CHOOSE(EB12,Opponent[Move1],Opponent[Move2],Opponent[Move3],Opponent[Move4]))&amp;" ("&amp;_xlfn.XLOOKUP($B$4&amp;$B$3,Opponent[Pokemon]&amp;Opponent[Battle],CHOOSE(EB12,Opponent[Move1Category],Opponent[Move2Category],Opponent[Move3Category],Opponent[Move4Category]))&amp;")")</f>
        <v/>
      </c>
      <c r="ED12" s="43" t="str">
        <f t="shared" si="37"/>
        <v>First Impression (Physical)</v>
      </c>
      <c r="EE12" s="43" t="str">
        <f t="shared" si="38"/>
        <v/>
      </c>
      <c r="EF12" s="43" t="str" cm="1">
        <f t="array" ref="EF12">IFERROR(_xlfn.XLOOKUP($B$4&amp;$B$3,Opponent[Pokemon]&amp;Opponent[Battle],Opponent[Move1]),"")</f>
        <v>First Impression</v>
      </c>
      <c r="EG12" s="43" t="str" cm="1">
        <f t="array" ref="EG12">IFERROR(_xlfn.XLOOKUP($B$4&amp;$B$3,Opponent[Pokemon]&amp;Opponent[Battle],Opponent[Move2]),"")</f>
        <v>Liquidation</v>
      </c>
      <c r="EH12" s="43" t="str" cm="1">
        <f t="array" ref="EH12">IFERROR(_xlfn.XLOOKUP($B$4&amp;$B$3,Opponent[Pokemon]&amp;Opponent[Battle],Opponent[Move3]),"")</f>
        <v>Swords Dance</v>
      </c>
      <c r="EI12" s="43" t="str" cm="1">
        <f t="array" ref="EI12">IFERROR(_xlfn.XLOOKUP($B$4&amp;$B$3,Opponent[Pokemon]&amp;Opponent[Battle],Opponent[Move4]),"")</f>
        <v>Shadow Claw</v>
      </c>
      <c r="EJ12" s="43" t="str">
        <f>IFERROR(_xlfn.XLOOKUP(EF12,MoveData[Move],MoveData[ActivationCondition]),"Always")</f>
        <v>RequiresFirstTurn</v>
      </c>
      <c r="EK12" s="43" t="str">
        <f>IFERROR(_xlfn.XLOOKUP(EG12,MoveData[Move],MoveData[ActivationCondition]),"Always")</f>
        <v>Always</v>
      </c>
      <c r="EL12" s="43" t="str">
        <f>IFERROR(_xlfn.XLOOKUP(EH12,MoveData[Move],MoveData[ActivationCondition]),"Always")</f>
        <v>Always</v>
      </c>
      <c r="EM12" s="43" t="str">
        <f>IFERROR(_xlfn.XLOOKUP(EI12,MoveData[Move],MoveData[ActivationCondition]),"Always")</f>
        <v>Always</v>
      </c>
      <c r="EN12" s="43" t="b">
        <f t="shared" si="48"/>
        <v>1</v>
      </c>
      <c r="EO12" s="43" t="b">
        <f t="shared" si="49"/>
        <v>1</v>
      </c>
      <c r="EP12" s="43" t="b">
        <f t="shared" si="50"/>
        <v>1</v>
      </c>
      <c r="EQ12" s="43" t="b">
        <f t="shared" si="51"/>
        <v>1</v>
      </c>
      <c r="ER12" s="43" t="str">
        <f>IF(A12="","",
        _xlfn.LET(
            _xlpm.bestMove, B12,
            _xlpm.bestMoveContact, IFERROR(_xlfn.XLOOKUP(_xlpm.bestMove, MoveData[Move], MoveData[MakesContact]), FALSE),
            _xlpm.bestMoveCategory, IFERROR(_xlfn.XLOOKUP(_xlpm.bestMove, MoveData[Move], MoveData[Category]), ""),
            _xlpm.oppMove1Cond, EJ12,
            _xlpm.oppMove2Cond, EK12,
            _xlpm.oppMove3Cond, EL12,
            _xlpm.oppMove4Cond, EM12,
            _xlpm.oppMove1, EF12,
            _xlpm.oppMove2, EG12,
            _xlpm.oppMove3, EH12,
            _xlpm.oppMove4, EI12,
            _xlpm.contactRisk, AND(
                _xlpm.bestMoveContact = TRUE,
                OR(_xlpm.oppMove1Cond="RequiresTargetContactMove", _xlpm.oppMove2Cond="RequiresTargetContactMove", _xlpm.oppMove3Cond="RequiresTargetContactMove", _xlpm.oppMove4Cond="RequiresTargetContactMove")
            ),
            _xlpm.physicalRisk, AND(
                _xlpm.bestMoveCategory = "Physical",
                OR(_xlpm.oppMove1Cond="RequiresTargetPhysicalMove", _xlpm.oppMove2Cond="RequiresTargetPhysicalMove", _xlpm.oppMove3Cond="RequiresTargetPhysicalMove", _xlpm.oppMove4Cond="RequiresTargetPhysicalMove")
            ),
            _xlpm.riskMove, IF(_xlpm.contactRisk,
                IF(_xlpm.oppMove1Cond="RequiresTargetContactMove", _xlpm.oppMove1, IF(_xlpm.oppMove2Cond="RequiresTargetContactMove", _xlpm.oppMove2, IF(_xlpm.oppMove3Cond="RequiresTargetContactMove", _xlpm.oppMove3, _xlpm.oppMove4))),
                IF(_xlpm.physicalRisk,
                    IF(_xlpm.oppMove1Cond="RequiresTargetPhysicalMove", _xlpm.oppMove1, IF(_xlpm.oppMove2Cond="RequiresTargetPhysicalMove", _xlpm.oppMove2, IF(_xlpm.oppMove3Cond="RequiresTargetPhysicalMove", _xlpm.oppMove3, _xlpm.oppMove4))),
                    ""
                )
            ),
            IF(OR(_xlpm.contactRisk, _xlpm.physicalRisk), _xlpm.riskMove &amp; " risk", "")
        )
    )</f>
        <v/>
      </c>
      <c r="ES12" s="43" t="str">
        <f>IF(Calculator[[#This Row],[Team Member]]="","",_xlfn.LET(
        _xlpm.isImmune, DW12,
        _xlpm.incomingRatio, DD12,
        _xlpm.likelyThreshold, 3,
        _xlpm.possibleThreshold, 2,
        _xlpm.meetsLikelyIncoming, _xlpm.incomingRatio&gt;=_xlpm.likelyThreshold,
        _xlpm.meetsPossibleIncoming, _xlpm.incomingRatio&gt;=_xlpm.possibleThreshold,
        IF(_xlpm.isImmune, "",
            IF(_xlpm.meetsLikelyIncoming, "Likely Incoming OHKO",
            IF(_xlpm.meetsPossibleIncoming, "Possible Incoming OHKO", "")))
    ))</f>
        <v/>
      </c>
      <c r="ET12" s="43" t="str">
        <f>IF(A12="","",_xlfn.LET(
        _xlpm.opponentAbility, BC12,
        _xlpm.bestMove, B12,
        _xlpm.ohkoNote, DH12,
        _xlpm.tacticalEffect, IFERROR(_xlfn.XLOOKUP(_xlpm.opponentAbility, AbilityRules[Ability], AbilityRules[Effect]), ""),
        _xlpm.tacticalTargetType, IFERROR(_xlfn.XLOOKUP(_xlpm.opponentAbility, AbilityRules[Ability], AbilityRules[TargetType]), ""),
        _xlpm.bestMoveMakesContact, IFERROR(_xlfn.XLOOKUP(_xlpm.bestMove, MoveData[Move], MoveData[MakesContact]), FALSE),
        _xlpm.hasOHKONote, OR(
            ISNUMBER(SEARCH("Likely OHKO", _xlpm.ohkoNote)),
            ISNUMBER(SEARCH("Possible OHKO", _xlpm.ohkoNote)),
            ISNUMBER(SEARCH("Survival OHKO", _xlpm.ohkoNote))
        ),
        IF(_xlpm.tacticalEffect&lt;&gt;"Tactical", "",
            IF(AND(_xlpm.tacticalTargetType="Contact", _xlpm.bestMoveMakesContact=TRUE), _xlpm.opponentAbility&amp;" risk",
            IF(_xlpm.tacticalTargetType="Faint", _xlpm.opponentAbility&amp;" risk",
            IF(AND(_xlpm.tacticalTargetType="OHKO", _xlpm.hasOHKONote), "Sturdy may prevent OHKO",
            "")))
        )
    ))</f>
        <v/>
      </c>
      <c r="EU12" s="43" t="str">
        <f>IFERROR(VLOOKUP(Table8[[#This Row],[Move1]], MoveData[[Move]:[ActivationPowerMultiplier]], 11, FALSE), "Always")</f>
        <v>Always</v>
      </c>
      <c r="EV12" s="43">
        <f>IFERROR(VLOOKUP(Table8[[#This Row],[Move1]], MoveData[[Move]:[ActivationPowerMultiplier]], 13, FALSE), 1)</f>
        <v>1</v>
      </c>
      <c r="EW12" s="43">
        <f>IF(AND(Table8[[#This Row],[Move1ActCond]]&lt;&gt;"Always", LEFT(Table8[[#This Row],[Move1ActCond]],4)="Targ"), Table8[[#This Row],[Move1Score]]*Table8[[#This Row],[Move1ActMult]], 0)</f>
        <v>0</v>
      </c>
      <c r="EX12" s="43" t="str">
        <f>IFERROR(VLOOKUP(Table8[[#This Row],[Move2]], MoveData[[Move]:[ActivationPowerMultiplier]], 11, FALSE), "Always")</f>
        <v>Always</v>
      </c>
      <c r="EY12" s="43">
        <f>IFERROR(VLOOKUP(Table8[[#This Row],[Move2]], MoveData[[Move]:[ActivationPowerMultiplier]], 13, FALSE), 1)</f>
        <v>1</v>
      </c>
      <c r="EZ12" s="43">
        <f>IF(AND(Table8[[#This Row],[Move2ActCond]]&lt;&gt;"Always", LEFT(Table8[[#This Row],[Move2ActCond]],4)="Targ"), Table8[[#This Row],[Move2Score]]*Table8[[#This Row],[Move2ActMult]], 0)</f>
        <v>0</v>
      </c>
      <c r="FA12" s="43" t="str">
        <f>IFERROR(VLOOKUP(Table8[[#This Row],[Move3]], MoveData[[Move]:[ActivationPowerMultiplier]], 11, FALSE), "Always")</f>
        <v>Always</v>
      </c>
      <c r="FB12" s="43">
        <f>IFERROR(VLOOKUP(Table8[[#This Row],[Move3]], MoveData[[Move]:[ActivationPowerMultiplier]], 13, FALSE), 1)</f>
        <v>1</v>
      </c>
      <c r="FC12" s="43">
        <f>IF(AND(Table8[[#This Row],[Move3ActCond]]&lt;&gt;"Always", LEFT(Table8[[#This Row],[Move3ActCond]],4)="Targ"), Table8[[#This Row],[Move3Score]]*Table8[[#This Row],[Move3ActMult]], 0)</f>
        <v>0</v>
      </c>
      <c r="FD12" s="43" t="str">
        <f>IFERROR(VLOOKUP(Table8[[#This Row],[Move4]], MoveData[[Move]:[ActivationPowerMultiplier]], 11, FALSE), "Always")</f>
        <v>Always</v>
      </c>
      <c r="FE12" s="43">
        <f>IFERROR(VLOOKUP(Table8[[#This Row],[Move4]], MoveData[[Move]:[ActivationPowerMultiplier]], 13, FALSE), 1)</f>
        <v>1</v>
      </c>
      <c r="FF12" s="43">
        <f>IF(AND(Table8[[#This Row],[Move4ActCond]]&lt;&gt;"Always", LEFT(Table8[[#This Row],[Move4ActCond]],4)="Targ"), Table8[[#This Row],[Move4Score]]*Table8[[#This Row],[Move4ActMult]], 0)</f>
        <v>0</v>
      </c>
      <c r="FG12" s="43" t="b" cm="1">
        <f t="array" ref="FG12">_xlfn.LET(
        _xlpm.cond1, Table8[[#This Row],[Move1ActCond]],
        _xlpm.cond2, Table8[[#This Row],[Move2ActCond]],
        _xlpm.cond3, Table8[[#This Row],[Move3ActCond]],
        _xlpm.cond4, Table8[[#This Row],[Move4ActCond]],
        _xlpm.hasConditional, OR(_xlpm.cond1&lt;&gt;"Always", _xlpm.cond2&lt;&gt;"Always", _xlpm.cond3&lt;&gt;"Always", _xlpm.cond4&lt;&gt;"Always"),
        IF(NOT(_xlpm.hasConditional), FALSE,
            _xlfn.LET(
                _xlpm.reqStatuses, IFERROR(_xlfn._xlws.FILTER(ConditionRequirements[RequiredStatus],
                    (ConditionRequirements[ActivationCondition]=_xlpm.cond1)+
                    (ConditionRequirements[ActivationCondition]=_xlpm.cond2)+
                    (ConditionRequirements[ActivationCondition]=_xlpm.cond3)+
                    (ConditionRequirements[ActivationCondition]=_xlpm.cond4)), "None"),
                IF(ROWS(_xlpm.reqStatuses)=1, IF(_xlpm.reqStatuses="None", FALSE,
                    SUMPRODUCT(
                        (IFERROR(_xlfn.XLOOKUP(TeamData[Move1], MoveData[Move], MoveData[StatusEffect], ""), "")=_xlpm.reqStatuses)+
                        (IFERROR(_xlfn.XLOOKUP(TeamData[Move2], MoveData[Move], MoveData[StatusEffect], ""), "")=_xlpm.reqStatuses)+
                        (IFERROR(_xlfn.XLOOKUP(TeamData[Move3], MoveData[Move], MoveData[StatusEffect], ""), "")=_xlpm.reqStatuses)+
                        (IFERROR(_xlfn.XLOOKUP(TeamData[Move4], MoveData[Move], MoveData[StatusEffect], ""), "")=_xlpm.reqStatuses)
                    )&gt;0
                ),
                    SUMPRODUCT(
                        MMULT(
                            (IFERROR(_xlfn.XLOOKUP(TeamData[Move1], MoveData[Move], MoveData[StatusEffect], ""), "")=TRANSPOSE(_xlpm.reqStatuses))+
                            (IFERROR(_xlfn.XLOOKUP(TeamData[Move2], MoveData[Move], MoveData[StatusEffect], ""), "")=TRANSPOSE(_xlpm.reqStatuses))+
                            (IFERROR(_xlfn.XLOOKUP(TeamData[Move3], MoveData[Move], MoveData[StatusEffect], ""), "")=TRANSPOSE(_xlpm.reqStatuses))+
                            (IFERROR(_xlfn.XLOOKUP(TeamData[Move4], MoveData[Move], MoveData[StatusEffect], ""), "")=TRANSPOSE(_xlpm.reqStatuses)),
                            _xlfn.SEQUENCE(ROWS(_xlpm.reqStatuses),1,1,0)
                        )
                    )&gt;0
                )
            )
        )
    )</f>
        <v>0</v>
      </c>
      <c r="FH12" s="43" t="str" cm="1">
        <f t="array" ref="FH12">IF(NOT(Table8[[#This Row],[TeamCanStatus]]), "",
        _xlfn.LET(
            _xlpm.scores, _xlfn.HSTACK(Table8[[#This Row],[Move1BoostedScore]], Table8[[#This Row],[Move2BoostedScore]], Table8[[#This Row],[Move3BoostedScore]], Table8[[#This Row],[Move4BoostedScore]]),
            _xlpm.moves, _xlfn.HSTACK(Table8[[#This Row],[Move1]], Table8[[#This Row],[Move2]], Table8[[#This Row],[Move3]], Table8[[#This Row],[Move4]]),
            _xlpm.maxScore, MAX(_xlpm.scores),
            IF(_xlpm.maxScore=0, "", INDEX(_xlpm.moves, MATCH(_xlpm.maxScore, _xlpm.scores, 0)))
        )
    )</f>
        <v/>
      </c>
      <c r="FI12" s="43">
        <f>IF(NOT(Table8[[#This Row],[TeamCanStatus]]), 0, MAX(Table8[[#This Row],[Move1BoostedScore]], Table8[[#This Row],[Move2BoostedScore]], Table8[[#This Row],[Move3BoostedScore]], Table8[[#This Row],[Move4BoostedScore]]))</f>
        <v>0</v>
      </c>
      <c r="FJ12" s="43" t="str">
        <f>IF(ISNUMBER(SEARCH("Likely", Table8[[#This Row],[IncomingOHKONote]])), "",
        IF(AND(Table8[[#This Row],[TeamCanStatus]], Table8[[#This Row],[BestBoostedScore]]&gt;Table8[[#This Row],[BestMoveScoreNumeric]]),
            "Status-boosted "&amp;Table8[[#This Row],[BestConditionalMove]]&amp;" possible",
            ""))</f>
        <v/>
      </c>
      <c r="FK12" s="43" t="b">
        <f>OR(Table8[[#This Row],[Move1]]="Body Press", Table8[[#This Row],[Move2]]="Body Press", Table8[[#This Row],[Move3]]="Body Press", Table8[[#This Row],[Move4]]="Body Press")</f>
        <v>0</v>
      </c>
      <c r="FL12" s="43">
        <f>MAX(
        IFERROR(_xlfn.XLOOKUP(Table8[[#This Row],[Move1]], MoveData[Move], MoveData[DefStageChange], 0), 0),
        IFERROR(_xlfn.XLOOKUP(Table8[[#This Row],[Move2]], MoveData[Move], MoveData[DefStageChange], 0), 0),
        IFERROR(_xlfn.XLOOKUP(Table8[[#This Row],[Move3]], MoveData[Move], MoveData[DefStageChange], 0), 0),
        IFERROR(_xlfn.XLOOKUP(Table8[[#This Row],[Move4]], MoveData[Move], MoveData[DefStageChange], 0), 0)
    )</f>
        <v>0</v>
      </c>
      <c r="FM12" s="43" t="str" cm="1">
        <f t="array" ref="FM12">IF(AND(Table8[[#This Row],[HasBodyPress]], Table8[[#This Row],[MaxDefBoost]]&gt;0),
        _xlfn.LET(
            _xlpm.baseScore, _xlfn.SWITCH(TRUE,
                Table8[[#This Row],[Move1]]="Body Press", Table8[[#This Row],[Move1Score]],
                Table8[[#This Row],[Move2]]="Body Press", Table8[[#This Row],[Move2Score]],
                Table8[[#This Row],[Move3]]="Body Press", Table8[[#This Row],[Move3Score]],
                Table8[[#This Row],[Move4]]="Body Press", Table8[[#This Row],[Move4Score]],
                0
            ),
            _xlpm.stageMultiplier, (2 + Table8[[#This Row],[MaxDefBoost]]) / 2,
            _xlpm.baseScore * _xlpm.stageMultiplier
        ),
        ""
    )</f>
        <v/>
      </c>
      <c r="FN12" s="43" t="str">
        <f>IF(ISNUMBER(SEARCH("Likely", Table8[[#This Row],[IncomingOHKONote]])), "",
        IF(AND(Table8[[#This Row],[BoostedBodyPressScore]]&lt;&gt;"", Table8[[#This Row],[BoostedBodyPressScore]] &gt; Table8[[#This Row],[BestMoveScoreNumeric]]),
            "Defense-boosted Body Press possible",
            ""))</f>
        <v/>
      </c>
      <c r="FO12" s="30" t="b">
        <f>_xlfn.LET(
    _xlpm.heldItem, _xlfn.XLOOKUP($A12,TeamData[Pokemon],TeamData[Held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O12,
    _xlpm.moveCategory, Q12,
    _xlpm.effectiveness, R12,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0</v>
      </c>
      <c r="FP12" s="30" t="b">
        <f>_xlfn.LET(
    _xlpm.heldItem, _xlfn.XLOOKUP($A12,TeamData[Pokemon],TeamData[Held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W12,
    _xlpm.moveCategory, Y12,
    _xlpm.effectiveness, Z12,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1</v>
      </c>
      <c r="FQ12" s="30" t="b">
        <f>_xlfn.LET(
    _xlpm.heldItem, _xlfn.XLOOKUP($A12,TeamData[Pokemon],TeamData[Held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AE12,
    _xlpm.moveCategory, AG12,
    _xlpm.effectiveness, AH12,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1</v>
      </c>
      <c r="FR12" s="30" t="b">
        <f>_xlfn.LET(
    _xlpm.heldItem, _xlfn.XLOOKUP($A12,TeamData[Pokemon],TeamData[Held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AM12,
    _xlpm.moveCategory, AO12,
    _xlpm.effectiveness, AP12,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0</v>
      </c>
      <c r="FS12" s="30" t="b">
        <f t="shared" si="43"/>
        <v>1</v>
      </c>
      <c r="FT12" s="30" t="b">
        <f>_xlfn.LET(
    _xlpm.heldItem, _xlfn.XLOOKUP($A12,TeamData[Pokemon],TeamData[Held Item],""),
    _xlpm.itemEffectType, _xlfn.XLOOKUP(_xlpm.heldItem,Items[Item],Items[EffectType],"None"),
    _xlpm.itemAppliesTo, _xlfn.XLOOKUP(_xlpm.heldItem,Items[Item],Items[AppliesTo],"None"),
    AND(_xlpm.itemEffectType="StatMultiplier", _xlpm.itemAppliesTo="Defense")
)</f>
        <v>0</v>
      </c>
      <c r="FU12" s="30">
        <f t="shared" si="44"/>
        <v>374.03427759524021</v>
      </c>
      <c r="FV12" s="30" cm="1">
        <f t="array" ref="FV12">IF($A12="",
"",
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DP12,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DQ12,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DR12,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DS12,
    _xlpm.teamType1, INDEX(TeamData[Type1],MATCH(A12,TeamData[Pokemon],0)),
    _xlpm.teamType2, INDEX(TeamData[Type2],MATCH(A12,TeamData[Pokemon],0)),
    _xlpm.teamDEF, INDEX(TeamData[EffectiveDEF],MATCH(A12,TeamData[Pokemon],0)),
    _xlpm.teamSPD, INDEX(TeamData[EffectiveSPD],MATCH(A12,TeamData[Pokemon],0)),
    _xlpm.teamATK, INDEX(TeamData[ATK],MATCH(A12,TeamData[Pokemon],0)),
    _xlpm.oppATK, $AU12,
    _xlpm.oppDEF, $AV12,
    _xlpm.oppSPA, $AW12,
    _xlpm.oppType1, $N$2,
    _xlpm.oppType2, $O$2,
    _xlpm.intimidateMod, IF($BB12="Intimidate",0.667,1),
    _xlpm.typeEff1, 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
    _xlpm.typeEff2, 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
    _xlpm.typeEff3, 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
    _xlpm.typeEff4, 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_xlpm.teamSPD)),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_xlpm.teamSPD)),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_xlpm.teamSPD)),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_xlpm.teamSPD)),
    _xlpm.score1, IF(OR(_xlpm.move1Power="Varies", _xlpm.move1DmgMethod="Fixed", _xlpm.move1DmgMethod="OHKO"), 0, IFERROR(_xlpm.move1Power * _xlpm.hits1 * _xlpm.typeEff1 * _xlpm.stab1 * $BZ12 * _xlpm.atkStat1 / _xlpm.defStat1, 0)),
    _xlpm.score2, IF(OR(_xlpm.move2Power="Varies", _xlpm.move2DmgMethod="Fixed", _xlpm.move2DmgMethod="OHKO"), 0, IFERROR(_xlpm.move2Power * _xlpm.hits2 * _xlpm.typeEff2 * _xlpm.stab2 * $CA12 * _xlpm.atkStat2 / _xlpm.defStat2, 0)),
    _xlpm.score3, IF(OR(_xlpm.move3Power="Varies", _xlpm.move3DmgMethod="Fixed", _xlpm.move3DmgMethod="OHKO"), 0, IFERROR(_xlpm.move3Power * _xlpm.hits3 * _xlpm.typeEff3 * _xlpm.stab3 * $CB12 * _xlpm.atkStat3 / _xlpm.defStat3, 0)),
    _xlpm.score4, IF(OR(_xlpm.move4Power="Varies", _xlpm.move4DmgMethod="Fixed", _xlpm.move4DmgMethod="OHKO"), 0, IFERROR(_xlpm.move4Power * _xlpm.hits4 * _xlpm.typeEff4 * _xlpm.stab4 * $CC12 * _xlpm.atkStat4 / _xlpm.defStat4, 0)),
    MAX(_xlpm.score1*$EN12, _xlpm.score2*$EO12, _xlpm.score3*$EP12, _xlpm.score4*$EQ12)
))</f>
        <v>217.62880434782608</v>
      </c>
    </row>
    <row r="13" spans="1:178" ht="50.1" customHeight="1">
      <c r="A13" s="74" t="str">
        <f>IF('Team Data'!A5="","",'Team Data'!A5)</f>
        <v>Liepard</v>
      </c>
      <c r="B13" s="75" t="str" cm="1">
        <f t="array" ref="B13">IFERROR(INDEX(N13:AL13,1,MATCH(FU13,CHOOSE({1,2,3,4},IF(U13="",0,U13),IF(AC13="",0,AC13),IF(AK13="",0,AK13),IF(AS13="",0,AS13)),0)*8-7),"")</f>
        <v>Dark Pulse</v>
      </c>
      <c r="C13" s="75" t="str" cm="1">
        <f t="array" ref="C13">IFERROR(INDEX(N13:AM13,1,MATCH(FU13,CHOOSE({1,2,3,4},IF(U13="",0,U13),IF(AC13="",0,AC13),IF(AK13="",0,AK13),IF(AS13="",0,AS13)),0)*8-6),"")</f>
        <v>Dark</v>
      </c>
      <c r="D13" s="75" cm="1">
        <f t="array" ref="D13">IFERROR(INDEX(N13:AS13,1,MATCH(FU13,CHOOSE({1,2,3,4},IF(U13="",0,U13),IF(AC13="",0,AC13),IF(AK13="",0,AK13),IF(AS13="",0,AS13)),0)*8-3),"")</f>
        <v>1</v>
      </c>
      <c r="E13" s="76" t="str">
        <f t="shared" si="0"/>
        <v>180.30*</v>
      </c>
      <c r="F13" s="77" t="str">
        <f t="shared" si="1"/>
        <v>526.89</v>
      </c>
      <c r="G13" s="79">
        <f t="shared" si="2"/>
        <v>0.34</v>
      </c>
      <c r="H13" s="75" t="str" cm="1">
        <f t="array" ref="H13">IF($A13="","",IF(EC13&lt;&gt;"",EC13,_xlfn.LET(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DP13,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DQ13,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DR13,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DS13,
    _xlpm.teamType1, INDEX(TeamData[Type1],MATCH(A13,TeamData[Pokemon],0)),
    _xlpm.teamType2, INDEX(TeamData[Type2],MATCH(A13,TeamData[Pokemon],0)),
    _xlpm.teamDEF, INDEX(TeamData[DEF],MATCH(A13,TeamData[Pokemon],0)),
    _xlpm.teamSPD, INDEX(TeamData[SPD],MATCH(A13,TeamData[Pokemon],0)),
    _xlpm.teamATK, INDEX(TeamData[ATK],MATCH(A13,TeamData[Pokemon],0)),
    _xlpm.oppATK, $AU13,
    _xlpm.oppDEF, $AV13,
    _xlpm.oppSPA, $AW13,
    _xlpm.oppType1, $N$2,
    _xlpm.oppType2, $O$2,
    _xlpm.intimidateMod, IF($BB13="Intimidate",0.667,1),
    _xlpm.typeEff1, IFERROR(INDEX(TypeChart[],MATCH(_xlpm.move1Type,TypeChart[AttackType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→],0),MATCH(_xlpm.teamType2,TypeChart[#Headers],0))),0),
    _xlpm.typeEff2, IFERROR(INDEX(TypeChart[],MATCH(_xlpm.move2Type,TypeChart[AttackType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→],0),MATCH(_xlpm.teamType2,TypeChart[#Headers],0))),0),
    _xlpm.typeEff3, IFERROR(INDEX(TypeChart[],MATCH(_xlpm.move3Type,TypeChart[AttackType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→],0),MATCH(_xlpm.teamType2,TypeChart[#Headers],0))),0),
    _xlpm.typeEff4, IFERROR(INDEX(TypeChart[],MATCH(_xlpm.move4Type,TypeChart[AttackType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→],0),MATCH(_xlpm.teamType2,TypeChart[#Headers],0))),0),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IF(_xlpm.move1Cat="Special", _xlpm.teamSPD, 1))),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IF(_xlpm.move2Cat="Special", _xlpm.teamSPD, 1))),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IF(_xlpm.move3Cat="Special", _xlpm.teamSPD, 1))),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IF(_xlpm.move4Cat="Special", _xlpm.teamSPD, 1))),
    _xlpm.score1, IF(OR(_xlpm.move1Power="Varies", _xlpm.move1Cat="Status", _xlpm.move1DmgMethod="Fixed", _xlpm.move1DmgMethod="OHKO"), 0, IFERROR(_xlpm.move1Power * _xlpm.hits1 * _xlpm.typeEff1 * _xlpm.stab1 * $BZ13 * _xlpm.atkStat1 / _xlpm.defStat1, 0)),
    _xlpm.score2, IF(OR(_xlpm.move2Power="Varies", _xlpm.move2Cat="Status", _xlpm.move2DmgMethod="Fixed", _xlpm.move2DmgMethod="OHKO"), 0, IFERROR(_xlpm.move2Power * _xlpm.hits2 * _xlpm.typeEff2 * _xlpm.stab2 * $CA13 * _xlpm.atkStat2 / _xlpm.defStat2, 0)),
    _xlpm.score3, IF(OR(_xlpm.move3Power="Varies", _xlpm.move3Cat="Status", _xlpm.move3DmgMethod="Fixed", _xlpm.move3DmgMethod="OHKO"), 0, IFERROR(_xlpm.move3Power * _xlpm.hits3 * _xlpm.typeEff3 * _xlpm.stab3 * $CB13 * _xlpm.atkStat3 / _xlpm.defStat3, 0)),
    _xlpm.score4, IF(OR(_xlpm.move4Power="Varies", _xlpm.move4Cat="Status", _xlpm.move4DmgMethod="Fixed", _xlpm.move4DmgMethod="OHKO"), 0, IFERROR(_xlpm.move4Power * _xlpm.hits4 * _xlpm.typeEff4 * _xlpm.stab4 * $CC13 * _xlpm.atkStat4 / _xlpm.defStat4, 0)),
    _xlpm.maxScore, MAX(_xlpm.score1*$EN13, _xlpm.score2*$EO13, _xlpm.score3*$EP13, _xlpm.score4*$EQ13),
    _xlpm.defaultMove, IF(AND(_xlpm.move1&lt;&gt;"",OR(_xlpm.move1Cat="Physical",_xlpm.move1Cat="Special")), _xlpm.move1 &amp; " (" &amp; _xlpm.move1Cat &amp; ")",
                 IF(AND(_xlpm.move2&lt;&gt;"",OR(_xlpm.move2Cat="Physical",_xlpm.move2Cat="Special")), _xlpm.move2 &amp; " (" &amp; _xlpm.move2Cat &amp; ")",
                 IF(AND(_xlpm.move3&lt;&gt;"",OR(_xlpm.move3Cat="Physical",_xlpm.move3Cat="Special")), _xlpm.move3 &amp; " (" &amp; _xlpm.move3Cat &amp; ")",
                 IF(AND(_xlpm.move4&lt;&gt;"",OR(_xlpm.move4Cat="Physical",_xlpm.move4Cat="Special")), _xlpm.move4 &amp; " (" &amp; _xlpm.move4Cat &amp; ")", "")))),
    IF(_xlpm.maxScore=0, _xlpm.defaultMove,
        IF(AND($EN13,_xlpm.score1*$EN13=_xlpm.maxScore), _xlpm.move1 &amp; " (" &amp; _xlpm.move1Cat &amp; ")",
        IF(AND($EO13,_xlpm.score2*$EO13=_xlpm.maxScore), _xlpm.move2 &amp; " (" &amp; _xlpm.move2Cat &amp; ")",
        IF(AND($EP13,_xlpm.score3*$EP13=_xlpm.maxScore), _xlpm.move3 &amp; " (" &amp; _xlpm.move3Cat &amp; ")",
        IF(AND($EQ13,_xlpm.score4*$EQ13=_xlpm.maxScore), _xlpm.move4 &amp; " (" &amp; _xlpm.move4Cat &amp; ")", "")))))
)))</f>
        <v>First Impression (Physical)</v>
      </c>
      <c r="I13" s="75">
        <f>IF(A13="","",IF(DW13,0,INDEX(TypeChart[],MATCH(K13,TypeChart[AttackType ↓ / DefendingType →],0),MATCH(INDEX(TeamData[Type1],MATCH(A13,TeamData[Pokemon],0)),TypeChart[#Headers],0))*IF(INDEX(TeamData[Type2],MATCH(A13,TeamData[Pokemon],0))="",1,INDEX(TypeChart[],MATCH(K13,TypeChart[AttackType ↓ / DefendingType →],0),MATCH(INDEX(TeamData[Type2],MATCH(A13,TeamData[Pokemon],0)),TypeChart[#Headers],0)))))</f>
        <v>2</v>
      </c>
      <c r="J13" s="85" t="str">
        <f t="shared" si="3"/>
        <v>Likely Incoming OHKO; Opponent has priority</v>
      </c>
      <c r="K13" s="30" t="str" cm="1">
        <f t="array" ref="K13">IF(A13="","",_xlfn.LET(
        _xlpm.moveName, LEFT(H13,IFERROR(FIND(" (",H13)-1,LEN(H13))),
        _xlpm.oppMove1, INDEX(Opponent[Move1],MATCH(1,(Opponent[Pokemon]=$B$4)*(Opponent[Battle]=$B$3),0)),
        _xlpm.oppMove2, INDEX(Opponent[Move2],MATCH(1,(Opponent[Pokemon]=$B$4)*(Opponent[Battle]=$B$3),0)),
        _xlpm.oppMove3, INDEX(Opponent[Move3],MATCH(1,(Opponent[Pokemon]=$B$4)*(Opponent[Battle]=$B$3),0)),
        _xlpm.oppMove4, INDEX(Opponent[Move4],MATCH(1,(Opponent[Pokemon]=$B$4)*(Opponent[Battle]=$B$3),0)),
        IF(_xlpm.moveName=_xlpm.oppMove1, INDEX(Opponent[Move1Type],MATCH(1,(Opponent[Pokemon]=$B$4)*(Opponent[Battle]=$B$3),0)),
        IF(_xlpm.moveName=_xlpm.oppMove2, INDEX(Opponent[Move2Type],MATCH(1,(Opponent[Pokemon]=$B$4)*(Opponent[Battle]=$B$3),0)),
        IF(_xlpm.moveName=_xlpm.oppMove3, INDEX(Opponent[Move3Type],MATCH(1,(Opponent[Pokemon]=$B$4)*(Opponent[Battle]=$B$3),0)),
        IF(_xlpm.moveName=_xlpm.oppMove4, INDEX(Opponent[Move4Type],MATCH(1,(Opponent[Pokemon]=$B$4)*(Opponent[Battle]=$B$3),0)),
        ""))))
    ))</f>
        <v>Bug</v>
      </c>
      <c r="L13" s="30"/>
      <c r="M13" s="30"/>
      <c r="N13" s="30" t="str">
        <f>_xlfn.XLOOKUP($A13,TeamData[Pokemon],TeamData[Move1])</f>
        <v>Throat Chop</v>
      </c>
      <c r="O13" s="30" t="str">
        <f>_xlfn.XLOOKUP($A13,TeamData[Pokemon],TeamData[Move1Type])</f>
        <v>Dark</v>
      </c>
      <c r="P13" s="30">
        <f>_xlfn.XLOOKUP($A13,TeamData[Pokemon],TeamData[Move1Power])</f>
        <v>80</v>
      </c>
      <c r="Q13" s="30" t="str">
        <f>_xlfn.XLOOKUP($A13,TeamData[Pokemon],TeamData[Move1Category])</f>
        <v>Physical</v>
      </c>
      <c r="R13" s="30">
        <f>INDEX(TypeChart[],MATCH(O13,TypeChart[AttackType ↓ / DefendingType →],0),MATCH($N$2,TypeChart[#Headers],0))
*
IF(OR($O$2="",$O$2=0),1,
INDEX(TypeChart[],MATCH(O13,TypeChart[AttackType ↓ / DefendingType →],0),MATCH($O$2,TypeChart[#Headers],0)))</f>
        <v>1</v>
      </c>
      <c r="S13" s="30">
        <f>IF(OR(O13=INDEX(TeamData[Type1],MATCH(A13,TeamData[Pokemon],0)),O13=INDEX(TeamData[Type2],MATCH(A13,TeamData[Pokemon],0))),$BH13,1)</f>
        <v>1.5</v>
      </c>
      <c r="T13" s="30">
        <f>R13*S13</f>
        <v>1.5</v>
      </c>
      <c r="U13" s="30" cm="1">
        <f t="array" ref="U13">_xlfn.LET(
    _xlpm.dmgMethod, DL13,
    _xlpm.movePower, P13,
    _xlpm.moveCategory, Q13,
    _xlpm.moveType, O13,
    _xlpm.moveHits, IFERROR(VLOOKUP(N13,MoveData[],6,FALSE),1),
    _xlpm.effectiveness, R13,
    _xlpm.stabMod, S13,
    _xlpm.techMod, $BJ13,
    _xlpm.outMod, $CD13,
    _xlpm.atkMod, $BI13,
    _xlpm.teamATK, _xlfn.XLOOKUP($A13,TeamData[Pokemon],TeamData[ATK]),
    _xlpm.teamSPA, _xlfn.XLOOKUP($A13,TeamData[Pokemon],TeamData[SPA]),
    _xlpm.teamDEF, _xlfn.XLOOKUP($A13,TeamData[Pokemon],TeamData[DEF]),
    _xlpm.oppATK, $AU13,
    _xlpm.oppDEF, $AV13,
    _xlpm.oppSPD, $AX13,
    _xlpm.heldItem, _xlfn.XLOOKUP($A13,TeamData[Pokemon],TeamData[Held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120.57942668541041</v>
      </c>
      <c r="V13" s="30" t="str">
        <f>_xlfn.XLOOKUP($A13,TeamData[Pokemon],TeamData[Move2])</f>
        <v>Dark Pulse</v>
      </c>
      <c r="W13" s="30" t="str">
        <f>_xlfn.XLOOKUP($A13,TeamData[Pokemon],TeamData[Move2Type])</f>
        <v>Dark</v>
      </c>
      <c r="X13" s="30">
        <f>_xlfn.XLOOKUP($A13,TeamData[Pokemon],TeamData[Move2Power])</f>
        <v>80</v>
      </c>
      <c r="Y13" s="30" t="str">
        <f>_xlfn.XLOOKUP($A13,TeamData[Pokemon],TeamData[Move2Category])</f>
        <v>Special</v>
      </c>
      <c r="Z13" s="30">
        <f>INDEX(TypeChart[],MATCH(W13,TypeChart[AttackType ↓ / DefendingType →],0),MATCH($N$2,TypeChart[#Headers],0))*IF(OR($O$2="",$O$2=0),1,INDEX(TypeChart[],MATCH(W13,TypeChart[AttackType ↓ / DefendingType →],0),MATCH($O$2,TypeChart[#Headers],0)))</f>
        <v>1</v>
      </c>
      <c r="AA13" s="30">
        <f>IF(OR(W13=INDEX(TeamData[Type1],MATCH(A13,TeamData[Pokemon],0)),W13=INDEX(TeamData[Type2],MATCH(A13,TeamData[Pokemon],0))),$BH13,1)</f>
        <v>1.5</v>
      </c>
      <c r="AB13" s="30">
        <f>Z13*AA13</f>
        <v>1.5</v>
      </c>
      <c r="AC13" s="30" cm="1">
        <f t="array" ref="AC13">_xlfn.LET(
    _xlpm.dmgMethod, DM13,
    _xlpm.movePower, X13,
    _xlpm.moveCategory, Y13,
    _xlpm.moveType, W13,
    _xlpm.moveHits, IFERROR(VLOOKUP(V13,MoveData[],6,FALSE),1),
    _xlpm.effectiveness, Z13,
    _xlpm.stabMod, AA13,
    _xlpm.techMod, $BK13,
    _xlpm.outMod, $CE13,
    _xlpm.atkMod, $BI13,
    _xlpm.teamATK, _xlfn.XLOOKUP($A13,TeamData[Pokemon],TeamData[ATK]),
    _xlpm.teamSPA, _xlfn.XLOOKUP($A13,TeamData[Pokemon],TeamData[SPA]),
    _xlpm.teamDEF, _xlfn.XLOOKUP($A13,TeamData[Pokemon],TeamData[DEF]),
    _xlpm.oppATK, $AU13,
    _xlpm.oppDEF, $AV13,
    _xlpm.oppSPD, $AX13,
    _xlpm.heldItem, _xlfn.XLOOKUP($A13,TeamData[Pokemon],TeamData[Held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180.30370304591068</v>
      </c>
      <c r="AD13" s="30" t="str">
        <f>_xlfn.XLOOKUP($A13,TeamData[Pokemon],TeamData[Move3])</f>
        <v>Assurance</v>
      </c>
      <c r="AE13" s="30" t="str">
        <f>_xlfn.XLOOKUP($A13,TeamData[Pokemon],TeamData[Move3Type])</f>
        <v>Dark</v>
      </c>
      <c r="AF13" s="30">
        <f>_xlfn.XLOOKUP($A13,TeamData[Pokemon],TeamData[Move3Power])</f>
        <v>60</v>
      </c>
      <c r="AG13" s="30" t="str">
        <f>_xlfn.XLOOKUP($A13,TeamData[Pokemon],TeamData[Move3Category])</f>
        <v>Physical</v>
      </c>
      <c r="AH13" s="30">
        <f>INDEX(TypeChart[],MATCH(AE13,TypeChart[AttackType ↓ / DefendingType →],0),MATCH($N$2,TypeChart[#Headers],0))*IF(OR($O$2="",$O$2=0),1,INDEX(TypeChart[],MATCH(AE13,TypeChart[AttackType ↓ / DefendingType →],0),MATCH($O$2,TypeChart[#Headers],0)))</f>
        <v>1</v>
      </c>
      <c r="AI13" s="30">
        <f>IF(OR(AE13=INDEX(TeamData[Type1],MATCH(A13,TeamData[Pokemon],0)),AE13=INDEX(TeamData[Type2],MATCH(A13,TeamData[Pokemon],0))),$BH13,1)</f>
        <v>1.5</v>
      </c>
      <c r="AJ13" s="30">
        <f>AH13*AI13</f>
        <v>1.5</v>
      </c>
      <c r="AK13" s="30" cm="1">
        <f t="array" ref="AK13">_xlfn.LET(
    _xlpm.dmgMethod, DN13,
    _xlpm.movePower, AF13,
    _xlpm.moveCategory, AG13,
    _xlpm.moveType, AE13,
    _xlpm.moveHits, IFERROR(VLOOKUP(AD13,MoveData[],6,FALSE),1),
    _xlpm.effectiveness, AH13,
    _xlpm.stabMod, AI13,
    _xlpm.techMod, $BL13,
    _xlpm.outMod, $CF13,
    _xlpm.atkMod, $BI13,
    _xlpm.teamATK, _xlfn.XLOOKUP($A13,TeamData[Pokemon],TeamData[ATK]),
    _xlpm.teamSPA, _xlfn.XLOOKUP($A13,TeamData[Pokemon],TeamData[SPA]),
    _xlpm.teamDEF, _xlfn.XLOOKUP($A13,TeamData[Pokemon],TeamData[DEF]),
    _xlpm.oppATK, $AU13,
    _xlpm.oppDEF, $AV13,
    _xlpm.oppSPD, $AX13,
    _xlpm.heldItem, _xlfn.XLOOKUP($A13,TeamData[Pokemon],TeamData[Held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90.434570014057812</v>
      </c>
      <c r="AL13" s="30" t="str">
        <f>_xlfn.XLOOKUP($A13,TeamData[Pokemon],TeamData[Move4])</f>
        <v>Fake Out</v>
      </c>
      <c r="AM13" s="30" t="str">
        <f>_xlfn.XLOOKUP($A13,TeamData[Pokemon],TeamData[Move4Type])</f>
        <v>Normal</v>
      </c>
      <c r="AN13" s="30">
        <f>_xlfn.XLOOKUP($A13,TeamData[Pokemon],TeamData[Move4Power])</f>
        <v>40</v>
      </c>
      <c r="AO13" s="30" t="str">
        <f>_xlfn.XLOOKUP($A13,TeamData[Pokemon],TeamData[Move4Category])</f>
        <v>Physical</v>
      </c>
      <c r="AP13" s="30">
        <f>INDEX(TypeChart[],MATCH(AM13,TypeChart[AttackType ↓ / DefendingType →],0),MATCH($N$2,TypeChart[#Headers],0))*IF(OR($O$2="",$O$2=0),1,INDEX(TypeChart[],MATCH(AM13,TypeChart[AttackType ↓ / DefendingType →],0),MATCH($O$2,TypeChart[#Headers],0)))</f>
        <v>1</v>
      </c>
      <c r="AQ13" s="30">
        <f>IF(OR(AM13=INDEX(TeamData[Type1],MATCH(A13,TeamData[Pokemon],0)),AM13=INDEX(TeamData[Type2],MATCH(A13,TeamData[Pokemon],0))),$BH13,1)</f>
        <v>1</v>
      </c>
      <c r="AR13" s="30">
        <f>AP13*AQ13</f>
        <v>1</v>
      </c>
      <c r="AS13" s="30" cm="1">
        <f t="array" ref="AS13">_xlfn.LET(
    _xlpm.dmgMethod, DO13,
    _xlpm.movePower, AN13,
    _xlpm.moveCategory, AO13,
    _xlpm.moveType, AM13,
    _xlpm.moveHits, IFERROR(VLOOKUP(AL13,MoveData[],6,FALSE),1),
    _xlpm.effectiveness, AP13,
    _xlpm.stabMod, AQ13,
    _xlpm.techMod, $BM13,
    _xlpm.outMod, $CG13,
    _xlpm.atkMod, $BI13,
    _xlpm.teamATK, _xlfn.XLOOKUP($A13,TeamData[Pokemon],TeamData[ATK]),
    _xlpm.teamSPA, _xlfn.XLOOKUP($A13,TeamData[Pokemon],TeamData[SPA]),
    _xlpm.teamDEF, _xlfn.XLOOKUP($A13,TeamData[Pokemon],TeamData[DEF]),
    _xlpm.oppATK, $AU13,
    _xlpm.oppDEF, $AV13,
    _xlpm.oppSPD, $AX13,
    _xlpm.heldItem, _xlfn.XLOOKUP($A13,TeamData[Pokemon],TeamData[Held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33.494285190391786</v>
      </c>
      <c r="AT13" s="30" cm="1">
        <f t="array" ref="AT13">IFERROR(INDEX(Opponent[Level],MATCH(1,(Opponent[Trainer]=$B$2)*(Opponent[Battle]=$B$3)*(Opponent[Pokemon]=$B$4),0)),0)</f>
        <v>51</v>
      </c>
      <c r="AU13" s="30" cm="1">
        <f t="array" ref="AU13">IFERROR(((2*INDEX(Opponent[ATK],MATCH(1,(Opponent[Trainer]=$B$2)*(Opponent[Battle]=$B$3)*(Opponent[Pokemon]=$B$4),0))+31)*$AT13/100)+5,0)</f>
        <v>148.31</v>
      </c>
      <c r="AV13" s="30" cm="1">
        <f t="array" ref="AV13">IFERROR(((2*INDEX(Opponent[DEF],MATCH(1,(Opponent[Trainer]=$B$2)*(Opponent[Battle]=$B$3)*(Opponent[Pokemon]=$B$4),0))+31)*$AT13/100)+5,0)</f>
        <v>163.61000000000001</v>
      </c>
      <c r="AW13" s="30" cm="1">
        <f t="array" ref="AW13">IFERROR(((2*INDEX(Opponent[SPA],MATCH(1,(Opponent[Trainer]=$B$2)*(Opponent[Battle]=$B$3)*(Opponent[Pokemon]=$B$4),0))+31)*$AT13/100)+5,0)</f>
        <v>82.01</v>
      </c>
      <c r="AX13" s="30" cm="1">
        <f t="array" ref="AX13">IFERROR(((2*INDEX(Opponent[SPD],MATCH(1,(Opponent[Trainer]=$B$2)*(Opponent[Battle]=$B$3)*(Opponent[Pokemon]=$B$4),0))+31)*$AT13/100)+5,0)</f>
        <v>112.61</v>
      </c>
      <c r="AY13" s="30" cm="1">
        <f t="array" ref="AY13">IFERROR(((2*INDEX(Opponent[SPE],MATCH(1,(Opponent[Trainer]=$B$2)*(Opponent[Battle]=$B$3)*(Opponent[Pokemon]=$B$4),0))+31)*$AT13/100)+5,0)</f>
        <v>61.61</v>
      </c>
      <c r="AZ13" s="30" cm="1">
        <f t="array" ref="AZ13">IFERROR(((2*INDEX(Opponent[HP],MATCH(1,(Opponent[Trainer]=$B$2)*(Opponent[Battle]=$B$3)*(Opponent[Pokemon]=$B$4),0))+31)*Table8[[#This Row],[OpponentLevel]]/100)+Table8[[#This Row],[OpponentLevel]]+10,0)</f>
        <v>153.31</v>
      </c>
      <c r="BA13" s="30">
        <f>IF(OR(Table8[[#This Row],[ApproxHP]]="",Table8[[#This Row],[ApproxHP]]=0),"",IFERROR(Table8[[#This Row],[BestMoveScoreNumeric]]/Table8[[#This Row],[ApproxHP]],""))</f>
        <v>1.1760726830990196</v>
      </c>
      <c r="BB13" s="30">
        <f>IFERROR(VLOOKUP(A13,TeamData[],30,FALSE),"")</f>
        <v>100</v>
      </c>
      <c r="BC13" s="30" t="str" cm="1">
        <f t="array" ref="BC13">IFERROR(INDEX(Opponent[Ability],MATCH(1,(Opponent[Pokemon]=$B$4)*(Opponent[Battle]=$B$3)*(Opponent[Trainer]=$B$2),0)),"")</f>
        <v>Emergency Exit</v>
      </c>
      <c r="BD13" s="30" cm="1">
        <f t="array" ref="BD13">IF(A13="",1,IF($BB13="",1,IF(SUMPRODUCT((AbilityRules[Ability]=$BB13)*(AbilityRules[Effect]="Immunity")*(AbilityRules[TargetType]=IFERROR(INDEX(Opponent[Move1Type],MATCH(1,(Opponent[Pokemon]=$B$4)*(Opponent[Battle]=$B$3)*(Opponent[Trainer]=$B$2),0)),"")))&gt;0,0,IF(SUMPRODUCT((AbilityRules[Ability]=$BB13)*(AbilityRules[Effect]="Reduction")*(AbilityRules[TargetType]=IFERROR(INDEX(Opponent[Move1Type],MATCH(1,(Opponent[Pokemon]=$B$4)*(Opponent[Battle]=$B$3)*(Opponent[Trainer]=$B$2),0)),"")))&gt;0,0.5,1))))</f>
        <v>1</v>
      </c>
      <c r="BE13" s="30" cm="1">
        <f t="array" ref="BE13">IF(A13="",1,IF($BB13="",1,IF(SUMPRODUCT((AbilityRules[Ability]=$BB13)*(AbilityRules[Effect]="Immunity")*(AbilityRules[TargetType]=IFERROR(INDEX(Opponent[Move2Type],MATCH(1,(Opponent[Pokemon]=$B$4)*(Opponent[Battle]=$B$3)*(Opponent[Trainer]=$B$2),0)),"")))&gt;0,0,IF(SUMPRODUCT((AbilityRules[Ability]=$BB13)*(AbilityRules[Effect]="Reduction")*(AbilityRules[TargetType]=IFERROR(INDEX(Opponent[Move2Type],MATCH(1,(Opponent[Pokemon]=$B$4)*(Opponent[Battle]=$B$3)*(Opponent[Trainer]=$B$2),0)),"")))&gt;0,0.5,1))))</f>
        <v>1</v>
      </c>
      <c r="BF13" s="30" cm="1">
        <f t="array" ref="BF13">IF(A13="",1,IF($BB13="",1,IF(SUMPRODUCT((AbilityRules[Ability]=$BB13)*(AbilityRules[Effect]="Immunity")*(AbilityRules[TargetType]=IFERROR(INDEX(Opponent[Move3Type],MATCH(1,(Opponent[Pokemon]=$B$4)*(Opponent[Battle]=$B$3)*(Opponent[Trainer]=$B$2),0)),"")))&gt;0,0,IF(SUMPRODUCT((AbilityRules[Ability]=$BB13)*(AbilityRules[Effect]="Reduction")*(AbilityRules[TargetType]=IFERROR(INDEX(Opponent[Move3Type],MATCH(1,(Opponent[Pokemon]=$B$4)*(Opponent[Battle]=$B$3)*(Opponent[Trainer]=$B$2),0)),"")))&gt;0,0.5,1))))</f>
        <v>1</v>
      </c>
      <c r="BG13" s="30" cm="1">
        <f t="array" ref="BG13">IF(A13="",1,IF($BB13="",1,IF(SUMPRODUCT((AbilityRules[Ability]=$BB13)*(AbilityRules[Effect]="Immunity")*(AbilityRules[TargetType]=IFERROR(INDEX(Opponent[Move4Type],MATCH(1,(Opponent[Pokemon]=$B$4)*(Opponent[Battle]=$B$3)*(Opponent[Trainer]=$B$2),0)),"")))&gt;0,0,IF(SUMPRODUCT((AbilityRules[Ability]=$BB13)*(AbilityRules[Effect]="Reduction")*(AbilityRules[TargetType]=IFERROR(INDEX(Opponent[Move4Type],MATCH(1,(Opponent[Pokemon]=$B$4)*(Opponent[Battle]=$B$3)*(Opponent[Trainer]=$B$2),0)),"")))&gt;0,0.5,1))))</f>
        <v>1</v>
      </c>
      <c r="BH13" s="30">
        <f t="shared" si="8"/>
        <v>1.5</v>
      </c>
      <c r="BI13" s="30">
        <f t="shared" si="9"/>
        <v>1</v>
      </c>
      <c r="BJ13" s="30">
        <f>IF(A13="",1,IF(AND($BB13="Technician",IFERROR(INDEX(TeamData[Move1Power],MATCH(A13,TeamData[Pokemon],0)),0)&lt;=60,IFERROR(INDEX(TeamData[Move1Power],MATCH(A13,TeamData[Pokemon],0)),0)&gt;0),1.5,1))</f>
        <v>1</v>
      </c>
      <c r="BK13" s="30">
        <f>IF(A13="",1,IF(AND($BB13="Technician",IFERROR(INDEX(TeamData[Move2Power],MATCH(A13,TeamData[Pokemon],0)),0)&lt;=60,IFERROR(INDEX(TeamData[Move2Power],MATCH(A13,TeamData[Pokemon],0)),0)&gt;0),1.5,1))</f>
        <v>1</v>
      </c>
      <c r="BL13" s="30">
        <f>IF(A13="",1,IF(AND($BB13="Technician",IFERROR(INDEX(TeamData[Move3Power],MATCH(A13,TeamData[Pokemon],0)),0)&lt;=60,IFERROR(INDEX(TeamData[Move3Power],MATCH(A13,TeamData[Pokemon],0)),0)&gt;0),1.5,1))</f>
        <v>1</v>
      </c>
      <c r="BM13" s="30">
        <f>IF(A13="",1,IF(AND($BB13="Technician",IFERROR(INDEX(TeamData[Move4Power],MATCH(A13,TeamData[Pokemon],0)),0)&lt;=60,IFERROR(INDEX(TeamData[Move4Power],MATCH(A13,TeamData[Pokemon],0)),0)&gt;0),1.5,1))</f>
        <v>1</v>
      </c>
      <c r="BN13" s="30" t="str" cm="1">
        <f t="array" ref="BN13">IFERROR(INDEX(Opponent[Move1Type],MATCH(1,(Opponent[Pokemon]=$B$4)*(Opponent[Battle]=$B$3)*(Opponent[Trainer]=$B$2),0)),"")</f>
        <v>Bug</v>
      </c>
      <c r="BO13" s="30" t="str" cm="1">
        <f t="array" ref="BO13">IFERROR(INDEX(Opponent[Move2Type],MATCH(1,(Opponent[Pokemon]=$B$4)*(Opponent[Battle]=$B$3)*(Opponent[Trainer]=$B$2),0)),"")</f>
        <v>Water</v>
      </c>
      <c r="BP13" s="30" t="str" cm="1">
        <f t="array" ref="BP13">IFERROR(INDEX(Opponent[Move3Type],MATCH(1,(Opponent[Pokemon]=$B$4)*(Opponent[Battle]=$B$3)*(Opponent[Trainer]=$B$2),0)),"")</f>
        <v>Normal</v>
      </c>
      <c r="BQ13" s="30" t="str" cm="1">
        <f t="array" ref="BQ13">IFERROR(INDEX(Opponent[Move4Type],MATCH(1,(Opponent[Pokemon]=$B$4)*(Opponent[Battle]=$B$3)*(Opponent[Trainer]=$B$2),0)),"")</f>
        <v>Ghost</v>
      </c>
      <c r="BR13" s="30">
        <f>IF(OR(A13="",BN13=""),0,IFERROR(VLOOKUP(BN13,TypeChart[],MATCH(VLOOKUP(A13,TeamData[],2,FALSE),TypeChart[#Headers],0),FALSE)*IF(VLOOKUP(A13,TeamData[],3,FALSE)="",1,VLOOKUP(BN13,TypeChart[],MATCH(VLOOKUP(A13,TeamData[],3,FALSE),TypeChart[#Headers],0),FALSE)),0))</f>
        <v>2</v>
      </c>
      <c r="BS13" s="30">
        <f>IF(OR(A13="",BO13=""),0,IFERROR(VLOOKUP(BO13,TypeChart[],MATCH(VLOOKUP(A13,TeamData[],2,FALSE),TypeChart[#Headers],0),FALSE)*IF(VLOOKUP(A13,TeamData[],3,FALSE)="",1,VLOOKUP(BO13,TypeChart[],MATCH(VLOOKUP(A13,TeamData[],3,FALSE),TypeChart[#Headers],0),FALSE)),0))</f>
        <v>1</v>
      </c>
      <c r="BT13" s="30">
        <f>IF(OR(A13="",BP13=""),0,IFERROR(VLOOKUP(BP13,TypeChart[],MATCH(VLOOKUP(A13,TeamData[],2,FALSE),TypeChart[#Headers],0),FALSE)*IF(VLOOKUP(A13,TeamData[],3,FALSE)="",1,VLOOKUP(BP13,TypeChart[],MATCH(VLOOKUP(A13,TeamData[],3,FALSE),TypeChart[#Headers],0),FALSE)),0))</f>
        <v>1</v>
      </c>
      <c r="BU13" s="30">
        <f>IF(OR(A13="",BQ13=""),0,IFERROR(VLOOKUP(BQ13,TypeChart[],MATCH(VLOOKUP(A13,TeamData[],2,FALSE),TypeChart[#Headers],0),FALSE)*IF(VLOOKUP(A13,TeamData[],3,FALSE)="",1,VLOOKUP(BQ13,TypeChart[],MATCH(VLOOKUP(A13,TeamData[],3,FALSE),TypeChart[#Headers],0),FALSE)),0))</f>
        <v>0.5</v>
      </c>
      <c r="BV13" s="30">
        <f t="shared" si="45"/>
        <v>1</v>
      </c>
      <c r="BW13" s="30">
        <f t="shared" si="45"/>
        <v>0</v>
      </c>
      <c r="BX13" s="30">
        <f t="shared" si="45"/>
        <v>0</v>
      </c>
      <c r="BY13" s="30">
        <f t="shared" si="45"/>
        <v>0</v>
      </c>
      <c r="BZ13" s="30">
        <f>BD13*IF(AND(BV13=1,OR(BB13="Filter",BB13="Solid Rock",BB13="Prism Armor")),0.75,1)</f>
        <v>1</v>
      </c>
      <c r="CA13" s="30">
        <f>BE13*IF(AND(BW13=1,OR(BB13="Filter",BB13="Solid Rock",BB13="Prism Armor")),0.75,1)</f>
        <v>1</v>
      </c>
      <c r="CB13" s="30">
        <f>BF13*IF(AND(BX13=1,OR(BB13="Filter",BB13="Solid Rock",BB13="Prism Armor")),0.75,1)</f>
        <v>1</v>
      </c>
      <c r="CC13" s="30">
        <f>BG13*IF(AND(BY13=1,OR(BB13="Filter",BB13="Solid Rock",BB13="Prism Armor")),0.75,1)</f>
        <v>1</v>
      </c>
      <c r="CD13" s="30">
        <f t="shared" si="18"/>
        <v>1</v>
      </c>
      <c r="CE13" s="30">
        <f t="shared" si="19"/>
        <v>1</v>
      </c>
      <c r="CF13" s="30">
        <f t="shared" si="20"/>
        <v>1</v>
      </c>
      <c r="CG13" s="30">
        <f t="shared" si="21"/>
        <v>1</v>
      </c>
      <c r="CH13" s="30">
        <f t="shared" si="22"/>
        <v>0</v>
      </c>
      <c r="CI13" s="30">
        <f t="shared" si="23"/>
        <v>0</v>
      </c>
      <c r="CJ13" s="30">
        <f t="shared" si="24"/>
        <v>0</v>
      </c>
      <c r="CK13" s="30" t="e">
        <f>IF(A13="",0,IF(E13&gt;AVERAGEIF($A$10:$A$15,"&lt;&gt;",$E$10:$E$15)*1.5,1,0))</f>
        <v>#DIV/0!</v>
      </c>
      <c r="CL13" s="30">
        <f t="shared" si="25"/>
        <v>7</v>
      </c>
      <c r="CM13">
        <f t="shared" si="26"/>
        <v>0.55744996293550786</v>
      </c>
      <c r="CN13" s="30" cm="1">
        <f t="array" ref="CN13">IF(OR(A13="", FV13="", FV13=0), "", SMALL(IF($A$10:$A$15&lt;&gt;"", $FV$10:$FV$15), 2) / FV13)</f>
        <v>0.35185185185185186</v>
      </c>
      <c r="CO13" s="30">
        <f>IF(OR(A13="",C13=""),0,IF(OR(IFERROR(VLOOKUP(C13,TypeChart[],MATCH($N$2,TypeChart[#Headers],0),FALSE),1)&gt;1,IF($O$2="",FALSE,IFERROR(VLOOKUP(C13,TypeChart[],MATCH($O$2,TypeChart[#Headers],0),FALSE),1)&gt;1)),1,0))</f>
        <v>0</v>
      </c>
      <c r="CP13" s="30">
        <f>IF(A13="","",IF(AND(CO13=1,OR(C13=INDEX(TeamData[Type1],MATCH(A13,TeamData[Pokemon],0)),C13=INDEX(TeamData[Type2],MATCH(A13,TeamData[Pokemon],0)))),1,0))</f>
        <v>0</v>
      </c>
      <c r="CQ13" s="43">
        <f t="shared" si="27"/>
        <v>0</v>
      </c>
      <c r="CR13">
        <f t="shared" si="28"/>
        <v>0</v>
      </c>
      <c r="CS13" t="str">
        <f t="shared" si="29"/>
        <v/>
      </c>
      <c r="CT13" s="30" t="str">
        <f t="shared" si="30"/>
        <v/>
      </c>
      <c r="CU13" s="30" cm="1">
        <f t="array" ref="CU13">IF(A13="","",
        IF(OR(
            AND(OR(BR13=0,BD13=0),IFERROR(INDEX(Opponent[Move1Power],MATCH(1,(Opponent[Pokemon]=$B$4)*(Opponent[Battle]=$B$3)*(Opponent[Trainer]=$B$2),0))*1,0)&gt;=CX13,IFERROR(INDEX(Opponent[Move1Power],MATCH(1,(Opponent[Pokemon]=$B$4)*(Opponent[Battle]=$B$3)*(Opponent[Trainer]=$B$2),0))*1,0)&gt;0),
            AND(OR(BS13=0,BE13=0),IFERROR(INDEX(Opponent[Move2Power],MATCH(1,(Opponent[Pokemon]=$B$4)*(Opponent[Battle]=$B$3)*(Opponent[Trainer]=$B$2),0))*1,0)&gt;=CX13,IFERROR(INDEX(Opponent[Move2Power],MATCH(1,(Opponent[Pokemon]=$B$4)*(Opponent[Battle]=$B$3)*(Opponent[Trainer]=$B$2),0))*1,0)&gt;0),
            AND(OR(BT13=0,BF13=0),IFERROR(INDEX(Opponent[Move3Power],MATCH(1,(Opponent[Pokemon]=$B$4)*(Opponent[Battle]=$B$3)*(Opponent[Trainer]=$B$2),0))*1,0)&gt;=CX13,IFERROR(INDEX(Opponent[Move3Power],MATCH(1,(Opponent[Pokemon]=$B$4)*(Opponent[Battle]=$B$3)*(Opponent[Trainer]=$B$2),0))*1,0)&gt;0),
            AND(OR(BU13=0,BG13=0),IFERROR(INDEX(Opponent[Move4Power],MATCH(1,(Opponent[Pokemon]=$B$4)*(Opponent[Battle]=$B$3)*(Opponent[Trainer]=$B$2),0))*1,0)&gt;=CX13,IFERROR(INDEX(Opponent[Move4Power],MATCH(1,(Opponent[Pokemon]=$B$4)*(Opponent[Battle]=$B$3)*(Opponent[Trainer]=$B$2),0))*1,0)&gt;0)
        ),1,0))</f>
        <v>0</v>
      </c>
      <c r="CV13" s="30" t="str" cm="1">
        <f t="array" ref="CV13">IF(CU13=0,"",
        IF(AND(OR(BR13=0,BD13=0),IFERROR(INDEX(Opponent[Move1Power],MATCH(1,(Opponent[Pokemon]=$B$4)*(Opponent[Battle]=$B$3)*(Opponent[Trainer]=$B$2),0))*1,0)&gt;0),BN13,
        IF(AND(OR(BS13=0,BE13=0),IFERROR(INDEX(Opponent[Move2Power],MATCH(1,(Opponent[Pokemon]=$B$4)*(Opponent[Battle]=$B$3)*(Opponent[Trainer]=$B$2),0))*1,0)&gt;0),BO13,
        IF(AND(OR(BT13=0,BF13=0),IFERROR(INDEX(Opponent[Move3Power],MATCH(1,(Opponent[Pokemon]=$B$4)*(Opponent[Battle]=$B$3)*(Opponent[Trainer]=$B$2),0))*1,0)&gt;0),BP13,
        IF(AND(OR(BU13=0,BG13=0),IFERROR(INDEX(Opponent[Move4Power],MATCH(1,(Opponent[Pokemon]=$B$4)*(Opponent[Battle]=$B$3)*(Opponent[Trainer]=$B$2),0))*1,0)&gt;0),BQ13,"")))))</f>
        <v/>
      </c>
      <c r="CW13" s="30" t="e">
        <f t="shared" si="31"/>
        <v>#N/A</v>
      </c>
      <c r="CX13" s="30">
        <f>IF(A13="","",
            VALUE(IFERROR(VLOOKUP(LEFT(H13,FIND(" (",H13)-1),MoveData[],2,FALSE),0)))</f>
        <v>90</v>
      </c>
      <c r="CY13" s="30" cm="1">
        <f t="array" ref="CY13">INDEX(Opponent[Move3Power],MATCH(1,(Opponent[Pokemon]=$B$4)*(Opponent[Battle]=$B$3)*(Opponent[Trainer]=$B$2),0))</f>
        <v>0</v>
      </c>
      <c r="CZ13" s="30" t="b" cm="1">
        <f t="array" ref="CZ13">AND(BT13=0,IFERROR(INDEX(Opponent[Move3Power],MATCH(1,(Opponent[Pokemon]=$B$4)*(Opponent[Battle]=$B$3)*(Opponent[Trainer]=$B$2),0)),0)&gt;=CX13,IFERROR(INDEX(Opponent[Move3Power],MATCH(1,(Opponent[Pokemon]=$B$4)*(Opponent[Battle]=$B$3)*(Opponent[Trainer]=$B$2),0)),0)&gt;0)</f>
        <v>0</v>
      </c>
      <c r="DA13" s="30" t="b">
        <f t="shared" si="32"/>
        <v>0</v>
      </c>
      <c r="DB13" s="30" t="b">
        <f t="shared" si="33"/>
        <v>1</v>
      </c>
      <c r="DC13" s="43" t="b">
        <f>INDEX(TeamData[SPE],MATCH(Calculator[[#This Row],[Team Member]],TeamData[Pokemon],0))&lt;Table8[[#This Row],[ApproxSPE]]</f>
        <v>0</v>
      </c>
      <c r="DD13" s="43">
        <f>_xlfn.LET(
        _xlpm.teamHP, INDEX(TeamData[HP], MATCH(Calculator[[#This Row],[Team Member]], TeamData[Pokemon], 0)),
        _xlpm.incomingScore, Table8[[#This Row],[IncomingWorstScoreNumeric]],
        IF(OR(_xlpm.teamHP="", _xlpm.teamHP=0), "", IFERROR(_xlpm.incomingScore/_xlpm.teamHP, ""))
    )</f>
        <v>3.5842910848549945</v>
      </c>
      <c r="DE13" s="43" t="b">
        <f>_xlfn.LET(
        _xlpm.teamSPE, INDEX(TeamData[SPE], MATCH(Calculator[[#This Row],[Team Member]], TeamData[Pokemon], 0)),
        _xlpm.opponentSPE, Table8[[#This Row],[ApproxSPE]],
        _xlpm.teamSPE &lt; _xlpm.opponentSPE
    )</f>
        <v>0</v>
      </c>
      <c r="DF13" s="43" t="b" cm="1">
        <f t="array" ref="DF13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_xlpm.isDmax, OR(_xlpm.hasGMax, _xlpm.hasMax),
        _xlpm.offensiveThreshold, IF(_xlpm.isDmax, 2, 1),
        _xlpm.meetsOffensiveOHKO, Table8[[#This Row],[BestMoveHPRatio]]&gt;=_xlpm.offensiveThreshold,
        AND(Table8[[#This Row],[TeamMovesSecond]], _xlpm.meetsOffensiveOHKO, Table8[[#This Row],[LikelySurvivesFirstHit]])
    )</f>
        <v>0</v>
      </c>
      <c r="DG13" s="43" t="str" cm="1">
        <f t="array" ref="DG13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IF(_xlpm.hasGMax, "G-Max", IF(_xlpm.hasMax, "Dmax", ""))
    )</f>
        <v/>
      </c>
      <c r="DH13" s="43" t="str">
        <f>IF(Calculator[[#This Row],[Team Member]]="","",_xlfn.LET(
        _xlpm.opponentSPE, Table8[[#This Row],[ApproxSPE]],
        _xlpm.teamSPE, INDEX(TeamData[SPE], MATCH(Calculator[[#This Row],[Team Member]], TeamData[Pokemon], 0)),
        _xlpm.isFaster, _xlpm.teamSPE&gt;_xlpm.opponentSPE,
        _xlpm.hpRatio, Table8[[#This Row],[BestMoveHPRatio]],
        _xlpm.teamMovesSecond, Table8[[#This Row],[TeamMovesSecond]],
        _xlpm.likelySurvives, Table8[[#This Row],[LikelySurvivesFirstHit]],
        _xlpm.incomingScore, Table8[[#This Row],[IncomingWorstScoreNumeric]],
        _xlpm.hasIncomingDamage, _xlpm.incomingScore&gt;0,
        _xlpm.isDmax, Table8[[#This Row],[DmaxNote]]&lt;&gt;"",
        _xlpm.likelyThreshold, IF(_xlpm.isDmax, 6.5, 3),
        _xlpm.possibleThreshold, IF(_xlpm.isDmax, 4.5, 2),
        _xlpm.meetsLikelyOHKO, _xlpm.hpRatio&gt;=_xlpm.likelyThreshold,
        _xlpm.meetsPossibleOHKO, _xlpm.hpRatio&gt;=_xlpm.possibleThreshold,
        IF(AND(_xlpm.teamMovesSecond, _xlpm.hasIncomingDamage, _xlpm.likelySurvives, _xlpm.meetsLikelyOHKO), "Likely Survival OHKO",
        IF(AND(_xlpm.teamMovesSecond, _xlpm.hasIncomingDamage, _xlpm.likelySurvives, _xlpm.meetsPossibleOHKO), "Possible Survival OHKO",
        IF(OR(_xlpm.isFaster, NOT(_xlpm.hasIncomingDamage)),
            IF(_xlpm.meetsLikelyOHKO, "Likely OHKO",
            IF(_xlpm.meetsPossibleOHKO, "Possible OHKO", "")),
            ""
        )))
    ))</f>
        <v/>
      </c>
      <c r="DI13" s="43" t="str">
        <f>""</f>
        <v/>
      </c>
      <c r="DJ13" s="43" t="str">
        <f>""</f>
        <v/>
      </c>
      <c r="DK13" s="43"/>
      <c r="DL13" s="43" t="str">
        <f>IFERROR(VLOOKUP(N13,MoveData[],9,FALSE),"")</f>
        <v>Standard</v>
      </c>
      <c r="DM13" s="43" t="str">
        <f>IFERROR(VLOOKUP(V13,MoveData[],9,FALSE),"")</f>
        <v>Standard</v>
      </c>
      <c r="DN13" s="43" t="str">
        <f>IFERROR(VLOOKUP(AD13,MoveData[],9,FALSE),"")</f>
        <v>Variable</v>
      </c>
      <c r="DO13" s="43" t="str">
        <f>IFERROR(VLOOKUP(AL13,MoveData[],9,FALSE),"")</f>
        <v>Standard</v>
      </c>
      <c r="DP13" s="43" t="str" cm="1">
        <f t="array" ref="DP13">IFERROR(VLOOKUP(INDEX(Opponent[Move1],MATCH(1,(Opponent[Pokemon]=$B$4)*(Opponent[Battle]=$B$3),0)),MoveData[],9,FALSE),"")</f>
        <v>Standard</v>
      </c>
      <c r="DQ13" s="43" t="str" cm="1">
        <f t="array" ref="DQ13">IFERROR(VLOOKUP(INDEX(Opponent[Move2],MATCH(1,(Opponent[Pokemon]=$B$4)*(Opponent[Battle]=$B$3),0)),MoveData[],9,FALSE),"")</f>
        <v>Standard</v>
      </c>
      <c r="DR13" s="43" cm="1">
        <f t="array" ref="DR13">IFERROR(VLOOKUP(INDEX(Opponent[Move3],MATCH(1,(Opponent[Pokemon]=$B$4)*(Opponent[Battle]=$B$3),0)),MoveData[],9,FALSE),"")</f>
        <v>0</v>
      </c>
      <c r="DS13" s="43" t="str" cm="1">
        <f t="array" ref="DS13">IFERROR(VLOOKUP(INDEX(Opponent[Move4],MATCH(1,(Opponent[Pokemon]=$B$4)*(Opponent[Battle]=$B$3),0)),MoveData[],9,FALSE),"")</f>
        <v>Standard</v>
      </c>
      <c r="DT13" s="43">
        <f>IFERROR(VLOOKUP(Calculator[[#This Row],[Best Move]],MoveData[],8,FALSE),0)</f>
        <v>0</v>
      </c>
      <c r="DU13" s="43">
        <f>IF(H13="",0,IFERROR(VLOOKUP(LEFT(H13,FIND(" (",H13)-1),MoveData[],8,FALSE),0))</f>
        <v>2</v>
      </c>
      <c r="DV13" s="43" t="str">
        <f t="shared" si="34"/>
        <v>Opponent has priority</v>
      </c>
      <c r="DW13" s="43" t="b">
        <f t="shared" si="35"/>
        <v>0</v>
      </c>
      <c r="DX13" s="43" cm="1">
        <f t="array" ref="DX13">IFERROR(VALUE(_xlfn.XLOOKUP($B$4&amp;$B$3,Opponent[Pokemon]&amp;Opponent[Battle],Opponent[Move1Power])),0)</f>
        <v>90</v>
      </c>
      <c r="DY13" s="43" cm="1">
        <f t="array" ref="DY13">IFERROR(VALUE(_xlfn.XLOOKUP($B$4&amp;$B$3,Opponent[Pokemon]&amp;Opponent[Battle],Opponent[Move2Power])),0)</f>
        <v>85</v>
      </c>
      <c r="DZ13" s="43" cm="1">
        <f t="array" ref="DZ13">IFERROR(VALUE(_xlfn.XLOOKUP($B$4&amp;$B$3,Opponent[Pokemon]&amp;Opponent[Battle],Opponent[Move3Power])),0)</f>
        <v>0</v>
      </c>
      <c r="EA13" s="43" cm="1">
        <f t="array" ref="EA13">IFERROR(VALUE(_xlfn.XLOOKUP($B$4&amp;$B$3,Opponent[Pokemon]&amp;Opponent[Battle],Opponent[Move4Power])),0)</f>
        <v>70</v>
      </c>
      <c r="EB13" s="43">
        <f t="shared" si="47"/>
        <v>1</v>
      </c>
      <c r="EC13" s="43" t="str" cm="1">
        <f t="array" ref="EC13">IF(NOT(DW13),"",_xlfn.XLOOKUP($B$4&amp;$B$3,Opponent[Pokemon]&amp;Opponent[Battle],CHOOSE(EB13,Opponent[Move1],Opponent[Move2],Opponent[Move3],Opponent[Move4]))&amp;" ("&amp;_xlfn.XLOOKUP($B$4&amp;$B$3,Opponent[Pokemon]&amp;Opponent[Battle],CHOOSE(EB13,Opponent[Move1Category],Opponent[Move2Category],Opponent[Move3Category],Opponent[Move4Category]))&amp;")")</f>
        <v/>
      </c>
      <c r="ED13" s="43" t="str">
        <f t="shared" si="37"/>
        <v>First Impression (Physical)</v>
      </c>
      <c r="EE13" s="43" t="str">
        <f t="shared" si="38"/>
        <v/>
      </c>
      <c r="EF13" s="43" t="str" cm="1">
        <f t="array" ref="EF13">IFERROR(_xlfn.XLOOKUP($B$4&amp;$B$3,Opponent[Pokemon]&amp;Opponent[Battle],Opponent[Move1]),"")</f>
        <v>First Impression</v>
      </c>
      <c r="EG13" s="43" t="str" cm="1">
        <f t="array" ref="EG13">IFERROR(_xlfn.XLOOKUP($B$4&amp;$B$3,Opponent[Pokemon]&amp;Opponent[Battle],Opponent[Move2]),"")</f>
        <v>Liquidation</v>
      </c>
      <c r="EH13" s="43" t="str" cm="1">
        <f t="array" ref="EH13">IFERROR(_xlfn.XLOOKUP($B$4&amp;$B$3,Opponent[Pokemon]&amp;Opponent[Battle],Opponent[Move3]),"")</f>
        <v>Swords Dance</v>
      </c>
      <c r="EI13" s="43" t="str" cm="1">
        <f t="array" ref="EI13">IFERROR(_xlfn.XLOOKUP($B$4&amp;$B$3,Opponent[Pokemon]&amp;Opponent[Battle],Opponent[Move4]),"")</f>
        <v>Shadow Claw</v>
      </c>
      <c r="EJ13" s="43" t="str">
        <f>IFERROR(_xlfn.XLOOKUP(EF13,MoveData[Move],MoveData[ActivationCondition]),"Always")</f>
        <v>RequiresFirstTurn</v>
      </c>
      <c r="EK13" s="43" t="str">
        <f>IFERROR(_xlfn.XLOOKUP(EG13,MoveData[Move],MoveData[ActivationCondition]),"Always")</f>
        <v>Always</v>
      </c>
      <c r="EL13" s="43" t="str">
        <f>IFERROR(_xlfn.XLOOKUP(EH13,MoveData[Move],MoveData[ActivationCondition]),"Always")</f>
        <v>Always</v>
      </c>
      <c r="EM13" s="43" t="str">
        <f>IFERROR(_xlfn.XLOOKUP(EI13,MoveData[Move],MoveData[ActivationCondition]),"Always")</f>
        <v>Always</v>
      </c>
      <c r="EN13" s="43" t="b">
        <f t="shared" si="48"/>
        <v>1</v>
      </c>
      <c r="EO13" s="43" t="b">
        <f t="shared" si="49"/>
        <v>1</v>
      </c>
      <c r="EP13" s="43" t="b">
        <f t="shared" si="50"/>
        <v>1</v>
      </c>
      <c r="EQ13" s="43" t="b">
        <f t="shared" si="51"/>
        <v>1</v>
      </c>
      <c r="ER13" s="43" t="str">
        <f>IF(A13="","",
        _xlfn.LET(
            _xlpm.bestMove, B13,
            _xlpm.bestMoveContact, IFERROR(_xlfn.XLOOKUP(_xlpm.bestMove, MoveData[Move], MoveData[MakesContact]), FALSE),
            _xlpm.bestMoveCategory, IFERROR(_xlfn.XLOOKUP(_xlpm.bestMove, MoveData[Move], MoveData[Category]), ""),
            _xlpm.oppMove1Cond, EJ13,
            _xlpm.oppMove2Cond, EK13,
            _xlpm.oppMove3Cond, EL13,
            _xlpm.oppMove4Cond, EM13,
            _xlpm.oppMove1, EF13,
            _xlpm.oppMove2, EG13,
            _xlpm.oppMove3, EH13,
            _xlpm.oppMove4, EI13,
            _xlpm.contactRisk, AND(
                _xlpm.bestMoveContact = TRUE,
                OR(_xlpm.oppMove1Cond="RequiresTargetContactMove", _xlpm.oppMove2Cond="RequiresTargetContactMove", _xlpm.oppMove3Cond="RequiresTargetContactMove", _xlpm.oppMove4Cond="RequiresTargetContactMove")
            ),
            _xlpm.physicalRisk, AND(
                _xlpm.bestMoveCategory = "Physical",
                OR(_xlpm.oppMove1Cond="RequiresTargetPhysicalMove", _xlpm.oppMove2Cond="RequiresTargetPhysicalMove", _xlpm.oppMove3Cond="RequiresTargetPhysicalMove", _xlpm.oppMove4Cond="RequiresTargetPhysicalMove")
            ),
            _xlpm.riskMove, IF(_xlpm.contactRisk,
                IF(_xlpm.oppMove1Cond="RequiresTargetContactMove", _xlpm.oppMove1, IF(_xlpm.oppMove2Cond="RequiresTargetContactMove", _xlpm.oppMove2, IF(_xlpm.oppMove3Cond="RequiresTargetContactMove", _xlpm.oppMove3, _xlpm.oppMove4))),
                IF(_xlpm.physicalRisk,
                    IF(_xlpm.oppMove1Cond="RequiresTargetPhysicalMove", _xlpm.oppMove1, IF(_xlpm.oppMove2Cond="RequiresTargetPhysicalMove", _xlpm.oppMove2, IF(_xlpm.oppMove3Cond="RequiresTargetPhysicalMove", _xlpm.oppMove3, _xlpm.oppMove4))),
                    ""
                )
            ),
            IF(OR(_xlpm.contactRisk, _xlpm.physicalRisk), _xlpm.riskMove &amp; " risk", "")
        )
    )</f>
        <v/>
      </c>
      <c r="ES13" s="43" t="str">
        <f>IF(Calculator[[#This Row],[Team Member]]="","",_xlfn.LET(
        _xlpm.isImmune, DW13,
        _xlpm.incomingRatio, DD13,
        _xlpm.likelyThreshold, 3,
        _xlpm.possibleThreshold, 2,
        _xlpm.meetsLikelyIncoming, _xlpm.incomingRatio&gt;=_xlpm.likelyThreshold,
        _xlpm.meetsPossibleIncoming, _xlpm.incomingRatio&gt;=_xlpm.possibleThreshold,
        IF(_xlpm.isImmune, "",
            IF(_xlpm.meetsLikelyIncoming, "Likely Incoming OHKO",
            IF(_xlpm.meetsPossibleIncoming, "Possible Incoming OHKO", "")))
    ))</f>
        <v>Likely Incoming OHKO</v>
      </c>
      <c r="ET13" s="43" t="str">
        <f>IF(A13="","",_xlfn.LET(
        _xlpm.opponentAbility, BC13,
        _xlpm.bestMove, B13,
        _xlpm.ohkoNote, DH13,
        _xlpm.tacticalEffect, IFERROR(_xlfn.XLOOKUP(_xlpm.opponentAbility, AbilityRules[Ability], AbilityRules[Effect]), ""),
        _xlpm.tacticalTargetType, IFERROR(_xlfn.XLOOKUP(_xlpm.opponentAbility, AbilityRules[Ability], AbilityRules[TargetType]), ""),
        _xlpm.bestMoveMakesContact, IFERROR(_xlfn.XLOOKUP(_xlpm.bestMove, MoveData[Move], MoveData[MakesContact]), FALSE),
        _xlpm.hasOHKONote, OR(
            ISNUMBER(SEARCH("Likely OHKO", _xlpm.ohkoNote)),
            ISNUMBER(SEARCH("Possible OHKO", _xlpm.ohkoNote)),
            ISNUMBER(SEARCH("Survival OHKO", _xlpm.ohkoNote))
        ),
        IF(_xlpm.tacticalEffect&lt;&gt;"Tactical", "",
            IF(AND(_xlpm.tacticalTargetType="Contact", _xlpm.bestMoveMakesContact=TRUE), _xlpm.opponentAbility&amp;" risk",
            IF(_xlpm.tacticalTargetType="Faint", _xlpm.opponentAbility&amp;" risk",
            IF(AND(_xlpm.tacticalTargetType="OHKO", _xlpm.hasOHKONote), "Sturdy may prevent OHKO",
            "")))
        )
    ))</f>
        <v/>
      </c>
      <c r="EU13" s="43" t="str">
        <f>IFERROR(VLOOKUP(Table8[[#This Row],[Move1]], MoveData[[Move]:[ActivationPowerMultiplier]], 11, FALSE), "Always")</f>
        <v>Always</v>
      </c>
      <c r="EV13" s="43">
        <f>IFERROR(VLOOKUP(Table8[[#This Row],[Move1]], MoveData[[Move]:[ActivationPowerMultiplier]], 13, FALSE), 1)</f>
        <v>1</v>
      </c>
      <c r="EW13" s="43">
        <f>IF(AND(Table8[[#This Row],[Move1ActCond]]&lt;&gt;"Always", LEFT(Table8[[#This Row],[Move1ActCond]],4)="Targ"), Table8[[#This Row],[Move1Score]]*Table8[[#This Row],[Move1ActMult]], 0)</f>
        <v>0</v>
      </c>
      <c r="EX13" s="43" t="str">
        <f>IFERROR(VLOOKUP(Table8[[#This Row],[Move2]], MoveData[[Move]:[ActivationPowerMultiplier]], 11, FALSE), "Always")</f>
        <v>Always</v>
      </c>
      <c r="EY13" s="43">
        <f>IFERROR(VLOOKUP(Table8[[#This Row],[Move2]], MoveData[[Move]:[ActivationPowerMultiplier]], 13, FALSE), 1)</f>
        <v>1</v>
      </c>
      <c r="EZ13" s="43">
        <f>IF(AND(Table8[[#This Row],[Move2ActCond]]&lt;&gt;"Always", LEFT(Table8[[#This Row],[Move2ActCond]],4)="Targ"), Table8[[#This Row],[Move2Score]]*Table8[[#This Row],[Move2ActMult]], 0)</f>
        <v>0</v>
      </c>
      <c r="FA13" s="43" t="str">
        <f>IFERROR(VLOOKUP(Table8[[#This Row],[Move3]], MoveData[[Move]:[ActivationPowerMultiplier]], 11, FALSE), "Always")</f>
        <v>RequiresUserHit</v>
      </c>
      <c r="FB13" s="43">
        <f>IFERROR(VLOOKUP(Table8[[#This Row],[Move3]], MoveData[[Move]:[ActivationPowerMultiplier]], 13, FALSE), 1)</f>
        <v>1</v>
      </c>
      <c r="FC13" s="43">
        <f>IF(AND(Table8[[#This Row],[Move3ActCond]]&lt;&gt;"Always", LEFT(Table8[[#This Row],[Move3ActCond]],4)="Targ"), Table8[[#This Row],[Move3Score]]*Table8[[#This Row],[Move3ActMult]], 0)</f>
        <v>0</v>
      </c>
      <c r="FD13" s="43" t="str">
        <f>IFERROR(VLOOKUP(Table8[[#This Row],[Move4]], MoveData[[Move]:[ActivationPowerMultiplier]], 11, FALSE), "Always")</f>
        <v>RequiresFirstTurn</v>
      </c>
      <c r="FE13" s="43">
        <f>IFERROR(VLOOKUP(Table8[[#This Row],[Move4]], MoveData[[Move]:[ActivationPowerMultiplier]], 13, FALSE), 1)</f>
        <v>1</v>
      </c>
      <c r="FF13" s="43">
        <f>IF(AND(Table8[[#This Row],[Move4ActCond]]&lt;&gt;"Always", LEFT(Table8[[#This Row],[Move4ActCond]],4)="Targ"), Table8[[#This Row],[Move4Score]]*Table8[[#This Row],[Move4ActMult]], 0)</f>
        <v>0</v>
      </c>
      <c r="FG13" s="43" t="b" cm="1">
        <f t="array" ref="FG13">_xlfn.LET(
        _xlpm.cond1, Table8[[#This Row],[Move1ActCond]],
        _xlpm.cond2, Table8[[#This Row],[Move2ActCond]],
        _xlpm.cond3, Table8[[#This Row],[Move3ActCond]],
        _xlpm.cond4, Table8[[#This Row],[Move4ActCond]],
        _xlpm.hasConditional, OR(_xlpm.cond1&lt;&gt;"Always", _xlpm.cond2&lt;&gt;"Always", _xlpm.cond3&lt;&gt;"Always", _xlpm.cond4&lt;&gt;"Always"),
        IF(NOT(_xlpm.hasConditional), FALSE,
            _xlfn.LET(
                _xlpm.reqStatuses, IFERROR(_xlfn._xlws.FILTER(ConditionRequirements[RequiredStatus],
                    (ConditionRequirements[ActivationCondition]=_xlpm.cond1)+
                    (ConditionRequirements[ActivationCondition]=_xlpm.cond2)+
                    (ConditionRequirements[ActivationCondition]=_xlpm.cond3)+
                    (ConditionRequirements[ActivationCondition]=_xlpm.cond4)), "None"),
                IF(ROWS(_xlpm.reqStatuses)=1, IF(_xlpm.reqStatuses="None", FALSE,
                    SUMPRODUCT(
                        (IFERROR(_xlfn.XLOOKUP(TeamData[Move1], MoveData[Move], MoveData[StatusEffect], ""), "")=_xlpm.reqStatuses)+
                        (IFERROR(_xlfn.XLOOKUP(TeamData[Move2], MoveData[Move], MoveData[StatusEffect], ""), "")=_xlpm.reqStatuses)+
                        (IFERROR(_xlfn.XLOOKUP(TeamData[Move3], MoveData[Move], MoveData[StatusEffect], ""), "")=_xlpm.reqStatuses)+
                        (IFERROR(_xlfn.XLOOKUP(TeamData[Move4], MoveData[Move], MoveData[StatusEffect], ""), "")=_xlpm.reqStatuses)
                    )&gt;0
                ),
                    SUMPRODUCT(
                        MMULT(
                            (IFERROR(_xlfn.XLOOKUP(TeamData[Move1], MoveData[Move], MoveData[StatusEffect], ""), "")=TRANSPOSE(_xlpm.reqStatuses))+
                            (IFERROR(_xlfn.XLOOKUP(TeamData[Move2], MoveData[Move], MoveData[StatusEffect], ""), "")=TRANSPOSE(_xlpm.reqStatuses))+
                            (IFERROR(_xlfn.XLOOKUP(TeamData[Move3], MoveData[Move], MoveData[StatusEffect], ""), "")=TRANSPOSE(_xlpm.reqStatuses))+
                            (IFERROR(_xlfn.XLOOKUP(TeamData[Move4], MoveData[Move], MoveData[StatusEffect], ""), "")=TRANSPOSE(_xlpm.reqStatuses)),
                            _xlfn.SEQUENCE(ROWS(_xlpm.reqStatuses),1,1,0)
                        )
                    )&gt;0
                )
            )
        )
    )</f>
        <v>0</v>
      </c>
      <c r="FH13" s="43" t="str" cm="1">
        <f t="array" ref="FH13">IF(NOT(Table8[[#This Row],[TeamCanStatus]]), "",
        _xlfn.LET(
            _xlpm.scores, _xlfn.HSTACK(Table8[[#This Row],[Move1BoostedScore]], Table8[[#This Row],[Move2BoostedScore]], Table8[[#This Row],[Move3BoostedScore]], Table8[[#This Row],[Move4BoostedScore]]),
            _xlpm.moves, _xlfn.HSTACK(Table8[[#This Row],[Move1]], Table8[[#This Row],[Move2]], Table8[[#This Row],[Move3]], Table8[[#This Row],[Move4]]),
            _xlpm.maxScore, MAX(_xlpm.scores),
            IF(_xlpm.maxScore=0, "", INDEX(_xlpm.moves, MATCH(_xlpm.maxScore, _xlpm.scores, 0)))
        )
    )</f>
        <v/>
      </c>
      <c r="FI13" s="43">
        <f>IF(NOT(Table8[[#This Row],[TeamCanStatus]]), 0, MAX(Table8[[#This Row],[Move1BoostedScore]], Table8[[#This Row],[Move2BoostedScore]], Table8[[#This Row],[Move3BoostedScore]], Table8[[#This Row],[Move4BoostedScore]]))</f>
        <v>0</v>
      </c>
      <c r="FJ13" s="43" t="str">
        <f>IF(ISNUMBER(SEARCH("Likely", Table8[[#This Row],[IncomingOHKONote]])), "",
        IF(AND(Table8[[#This Row],[TeamCanStatus]], Table8[[#This Row],[BestBoostedScore]]&gt;Table8[[#This Row],[BestMoveScoreNumeric]]),
            "Status-boosted "&amp;Table8[[#This Row],[BestConditionalMove]]&amp;" possible",
            ""))</f>
        <v/>
      </c>
      <c r="FK13" s="43" t="b">
        <f>OR(Table8[[#This Row],[Move1]]="Body Press", Table8[[#This Row],[Move2]]="Body Press", Table8[[#This Row],[Move3]]="Body Press", Table8[[#This Row],[Move4]]="Body Press")</f>
        <v>0</v>
      </c>
      <c r="FL13" s="43">
        <f>MAX(
        IFERROR(_xlfn.XLOOKUP(Table8[[#This Row],[Move1]], MoveData[Move], MoveData[DefStageChange], 0), 0),
        IFERROR(_xlfn.XLOOKUP(Table8[[#This Row],[Move2]], MoveData[Move], MoveData[DefStageChange], 0), 0),
        IFERROR(_xlfn.XLOOKUP(Table8[[#This Row],[Move3]], MoveData[Move], MoveData[DefStageChange], 0), 0),
        IFERROR(_xlfn.XLOOKUP(Table8[[#This Row],[Move4]], MoveData[Move], MoveData[DefStageChange], 0), 0)
    )</f>
        <v>0</v>
      </c>
      <c r="FM13" s="43" t="str" cm="1">
        <f t="array" ref="FM13">IF(AND(Table8[[#This Row],[HasBodyPress]], Table8[[#This Row],[MaxDefBoost]]&gt;0),
        _xlfn.LET(
            _xlpm.baseScore, _xlfn.SWITCH(TRUE,
                Table8[[#This Row],[Move1]]="Body Press", Table8[[#This Row],[Move1Score]],
                Table8[[#This Row],[Move2]]="Body Press", Table8[[#This Row],[Move2Score]],
                Table8[[#This Row],[Move3]]="Body Press", Table8[[#This Row],[Move3Score]],
                Table8[[#This Row],[Move4]]="Body Press", Table8[[#This Row],[Move4Score]],
                0
            ),
            _xlpm.stageMultiplier, (2 + Table8[[#This Row],[MaxDefBoost]]) / 2,
            _xlpm.baseScore * _xlpm.stageMultiplier
        ),
        ""
    )</f>
        <v/>
      </c>
      <c r="FN13" s="43" t="str">
        <f>IF(ISNUMBER(SEARCH("Likely", Table8[[#This Row],[IncomingOHKONote]])), "",
        IF(AND(Table8[[#This Row],[BoostedBodyPressScore]]&lt;&gt;"", Table8[[#This Row],[BoostedBodyPressScore]] &gt; Table8[[#This Row],[BestMoveScoreNumeric]]),
            "Defense-boosted Body Press possible",
            ""))</f>
        <v/>
      </c>
      <c r="FO13" s="30" t="b">
        <f>_xlfn.LET(
    _xlpm.heldItem, _xlfn.XLOOKUP($A13,TeamData[Pokemon],TeamData[Held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O13,
    _xlpm.moveCategory, Q13,
    _xlpm.effectiveness, R13,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1</v>
      </c>
      <c r="FP13" s="30" t="b">
        <f>_xlfn.LET(
    _xlpm.heldItem, _xlfn.XLOOKUP($A13,TeamData[Pokemon],TeamData[Held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W13,
    _xlpm.moveCategory, Y13,
    _xlpm.effectiveness, Z13,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1</v>
      </c>
      <c r="FQ13" s="30" t="b">
        <f>_xlfn.LET(
    _xlpm.heldItem, _xlfn.XLOOKUP($A13,TeamData[Pokemon],TeamData[Held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AE13,
    _xlpm.moveCategory, AG13,
    _xlpm.effectiveness, AH13,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1</v>
      </c>
      <c r="FR13" s="30" t="b">
        <f>_xlfn.LET(
    _xlpm.heldItem, _xlfn.XLOOKUP($A13,TeamData[Pokemon],TeamData[Held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AM13,
    _xlpm.moveCategory, AO13,
    _xlpm.effectiveness, AP13,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0</v>
      </c>
      <c r="FS13" s="30" t="b">
        <f t="shared" si="43"/>
        <v>1</v>
      </c>
      <c r="FT13" s="30" t="b">
        <f>_xlfn.LET(
    _xlpm.heldItem, _xlfn.XLOOKUP($A13,TeamData[Pokemon],TeamData[Held Item],""),
    _xlpm.itemEffectType, _xlfn.XLOOKUP(_xlpm.heldItem,Items[Item],Items[EffectType],"None"),
    _xlpm.itemAppliesTo, _xlfn.XLOOKUP(_xlpm.heldItem,Items[Item],Items[AppliesTo],"None"),
    AND(_xlpm.itemEffectType="StatMultiplier", _xlpm.itemAppliesTo="Defense")
)</f>
        <v>0</v>
      </c>
      <c r="FU13" s="30">
        <f t="shared" si="44"/>
        <v>180.30370304591068</v>
      </c>
      <c r="FV13" s="30" cm="1">
        <f t="array" ref="FV13">IF($A13="",
"",
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DP13,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DQ13,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DR13,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DS13,
    _xlpm.teamType1, INDEX(TeamData[Type1],MATCH(A13,TeamData[Pokemon],0)),
    _xlpm.teamType2, INDEX(TeamData[Type2],MATCH(A13,TeamData[Pokemon],0)),
    _xlpm.teamDEF, INDEX(TeamData[EffectiveDEF],MATCH(A13,TeamData[Pokemon],0)),
    _xlpm.teamSPD, INDEX(TeamData[EffectiveSPD],MATCH(A13,TeamData[Pokemon],0)),
    _xlpm.teamATK, INDEX(TeamData[ATK],MATCH(A13,TeamData[Pokemon],0)),
    _xlpm.oppATK, $AU13,
    _xlpm.oppDEF, $AV13,
    _xlpm.oppSPA, $AW13,
    _xlpm.oppType1, $N$2,
    _xlpm.oppType2, $O$2,
    _xlpm.intimidateMod, IF($BB13="Intimidate",0.667,1),
    _xlpm.typeEff1, 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
    _xlpm.typeEff2, 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
    _xlpm.typeEff3, 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
    _xlpm.typeEff4, 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_xlpm.teamSPD)),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_xlpm.teamSPD)),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_xlpm.teamSPD)),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_xlpm.teamSPD)),
    _xlpm.score1, IF(OR(_xlpm.move1Power="Varies", _xlpm.move1DmgMethod="Fixed", _xlpm.move1DmgMethod="OHKO"), 0, IFERROR(_xlpm.move1Power * _xlpm.hits1 * _xlpm.typeEff1 * _xlpm.stab1 * $BZ13 * _xlpm.atkStat1 / _xlpm.defStat1, 0)),
    _xlpm.score2, IF(OR(_xlpm.move2Power="Varies", _xlpm.move2DmgMethod="Fixed", _xlpm.move2DmgMethod="OHKO"), 0, IFERROR(_xlpm.move2Power * _xlpm.hits2 * _xlpm.typeEff2 * _xlpm.stab2 * $CA13 * _xlpm.atkStat2 / _xlpm.defStat2, 0)),
    _xlpm.score3, IF(OR(_xlpm.move3Power="Varies", _xlpm.move3DmgMethod="Fixed", _xlpm.move3DmgMethod="OHKO"), 0, IFERROR(_xlpm.move3Power * _xlpm.hits3 * _xlpm.typeEff3 * _xlpm.stab3 * $CB13 * _xlpm.atkStat3 / _xlpm.defStat3, 0)),
    _xlpm.score4, IF(OR(_xlpm.move4Power="Varies", _xlpm.move4DmgMethod="Fixed", _xlpm.move4DmgMethod="OHKO"), 0, IFERROR(_xlpm.move4Power * _xlpm.hits4 * _xlpm.typeEff4 * _xlpm.stab4 * $CC13 * _xlpm.atkStat4 / _xlpm.defStat4, 0)),
    MAX(_xlpm.score1*$EN13, _xlpm.score2*$EO13, _xlpm.score3*$EP13, _xlpm.score4*$EQ13)
))</f>
        <v>526.89078947368421</v>
      </c>
    </row>
    <row r="14" spans="1:178" ht="50.1" customHeight="1">
      <c r="A14" s="74" t="str">
        <f>IF('Team Data'!A6="","",'Team Data'!A6)</f>
        <v>Roserade</v>
      </c>
      <c r="B14" s="75" t="str" cm="1">
        <f t="array" ref="B14">IFERROR(INDEX(N14:AL14,1,MATCH(FU14,CHOOSE({1,2,3,4},IF(U14="",0,U14),IF(AC14="",0,AC14),IF(AK14="",0,AK14),IF(AS14="",0,AS14)),0)*8-7),"")</f>
        <v>Energy Ball</v>
      </c>
      <c r="C14" s="75" t="str" cm="1">
        <f t="array" ref="C14">IFERROR(INDEX(N14:AM14,1,MATCH(FU14,CHOOSE({1,2,3,4},IF(U14="",0,U14),IF(AC14="",0,AC14),IF(AK14="",0,AK14),IF(AS14="",0,AS14)),0)*8-6),"")</f>
        <v>Grass</v>
      </c>
      <c r="D14" s="75" cm="1">
        <f t="array" ref="D14">IFERROR(INDEX(N14:AS14,1,MATCH(FU14,CHOOSE({1,2,3,4},IF(U14="",0,U14),IF(AC14="",0,AC14),IF(AK14="",0,AK14),IF(AS14="",0,AS14)),0)*8-3),"")</f>
        <v>1</v>
      </c>
      <c r="E14" s="76" t="str">
        <f t="shared" si="0"/>
        <v>178.63</v>
      </c>
      <c r="F14" s="77" t="str">
        <f t="shared" si="1"/>
        <v>217.63</v>
      </c>
      <c r="G14" s="79">
        <f t="shared" si="2"/>
        <v>0.82</v>
      </c>
      <c r="H14" s="75" t="str" cm="1">
        <f t="array" ref="H14">IF($A14="","",IF(EC14&lt;&gt;"",EC14,_xlfn.LET(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DP14,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DQ14,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DR14,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DS14,
    _xlpm.teamType1, INDEX(TeamData[Type1],MATCH(A14,TeamData[Pokemon],0)),
    _xlpm.teamType2, INDEX(TeamData[Type2],MATCH(A14,TeamData[Pokemon],0)),
    _xlpm.teamDEF, INDEX(TeamData[DEF],MATCH(A14,TeamData[Pokemon],0)),
    _xlpm.teamSPD, INDEX(TeamData[SPD],MATCH(A14,TeamData[Pokemon],0)),
    _xlpm.teamATK, INDEX(TeamData[ATK],MATCH(A14,TeamData[Pokemon],0)),
    _xlpm.oppATK, $AU14,
    _xlpm.oppDEF, $AV14,
    _xlpm.oppSPA, $AW14,
    _xlpm.oppType1, $N$2,
    _xlpm.oppType2, $O$2,
    _xlpm.intimidateMod, IF($BB14="Intimidate",0.667,1),
    _xlpm.typeEff1, IFERROR(INDEX(TypeChart[],MATCH(_xlpm.move1Type,TypeChart[AttackType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→],0),MATCH(_xlpm.teamType2,TypeChart[#Headers],0))),0),
    _xlpm.typeEff2, IFERROR(INDEX(TypeChart[],MATCH(_xlpm.move2Type,TypeChart[AttackType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→],0),MATCH(_xlpm.teamType2,TypeChart[#Headers],0))),0),
    _xlpm.typeEff3, IFERROR(INDEX(TypeChart[],MATCH(_xlpm.move3Type,TypeChart[AttackType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→],0),MATCH(_xlpm.teamType2,TypeChart[#Headers],0))),0),
    _xlpm.typeEff4, IFERROR(INDEX(TypeChart[],MATCH(_xlpm.move4Type,TypeChart[AttackType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→],0),MATCH(_xlpm.teamType2,TypeChart[#Headers],0))),0),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IF(_xlpm.move1Cat="Special", _xlpm.teamSPD, 1))),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IF(_xlpm.move2Cat="Special", _xlpm.teamSPD, 1))),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IF(_xlpm.move3Cat="Special", _xlpm.teamSPD, 1))),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IF(_xlpm.move4Cat="Special", _xlpm.teamSPD, 1))),
    _xlpm.score1, IF(OR(_xlpm.move1Power="Varies", _xlpm.move1Cat="Status", _xlpm.move1DmgMethod="Fixed", _xlpm.move1DmgMethod="OHKO"), 0, IFERROR(_xlpm.move1Power * _xlpm.hits1 * _xlpm.typeEff1 * _xlpm.stab1 * $BZ14 * _xlpm.atkStat1 / _xlpm.defStat1, 0)),
    _xlpm.score2, IF(OR(_xlpm.move2Power="Varies", _xlpm.move2Cat="Status", _xlpm.move2DmgMethod="Fixed", _xlpm.move2DmgMethod="OHKO"), 0, IFERROR(_xlpm.move2Power * _xlpm.hits2 * _xlpm.typeEff2 * _xlpm.stab2 * $CA14 * _xlpm.atkStat2 / _xlpm.defStat2, 0)),
    _xlpm.score3, IF(OR(_xlpm.move3Power="Varies", _xlpm.move3Cat="Status", _xlpm.move3DmgMethod="Fixed", _xlpm.move3DmgMethod="OHKO"), 0, IFERROR(_xlpm.move3Power * _xlpm.hits3 * _xlpm.typeEff3 * _xlpm.stab3 * $CB14 * _xlpm.atkStat3 / _xlpm.defStat3, 0)),
    _xlpm.score4, IF(OR(_xlpm.move4Power="Varies", _xlpm.move4Cat="Status", _xlpm.move4DmgMethod="Fixed", _xlpm.move4DmgMethod="OHKO"), 0, IFERROR(_xlpm.move4Power * _xlpm.hits4 * _xlpm.typeEff4 * _xlpm.stab4 * $CC14 * _xlpm.atkStat4 / _xlpm.defStat4, 0)),
    _xlpm.maxScore, MAX(_xlpm.score1*$EN14, _xlpm.score2*$EO14, _xlpm.score3*$EP14, _xlpm.score4*$EQ14),
    _xlpm.defaultMove, IF(AND(_xlpm.move1&lt;&gt;"",OR(_xlpm.move1Cat="Physical",_xlpm.move1Cat="Special")), _xlpm.move1 &amp; " (" &amp; _xlpm.move1Cat &amp; ")",
                 IF(AND(_xlpm.move2&lt;&gt;"",OR(_xlpm.move2Cat="Physical",_xlpm.move2Cat="Special")), _xlpm.move2 &amp; " (" &amp; _xlpm.move2Cat &amp; ")",
                 IF(AND(_xlpm.move3&lt;&gt;"",OR(_xlpm.move3Cat="Physical",_xlpm.move3Cat="Special")), _xlpm.move3 &amp; " (" &amp; _xlpm.move3Cat &amp; ")",
                 IF(AND(_xlpm.move4&lt;&gt;"",OR(_xlpm.move4Cat="Physical",_xlpm.move4Cat="Special")), _xlpm.move4 &amp; " (" &amp; _xlpm.move4Cat &amp; ")", "")))),
    IF(_xlpm.maxScore=0, _xlpm.defaultMove,
        IF(AND($EN14,_xlpm.score1*$EN14=_xlpm.maxScore), _xlpm.move1 &amp; " (" &amp; _xlpm.move1Cat &amp; ")",
        IF(AND($EO14,_xlpm.score2*$EO14=_xlpm.maxScore), _xlpm.move2 &amp; " (" &amp; _xlpm.move2Cat &amp; ")",
        IF(AND($EP14,_xlpm.score3*$EP14=_xlpm.maxScore), _xlpm.move3 &amp; " (" &amp; _xlpm.move3Cat &amp; ")",
        IF(AND($EQ14,_xlpm.score4*$EQ14=_xlpm.maxScore), _xlpm.move4 &amp; " (" &amp; _xlpm.move4Cat &amp; ")", "")))))
)))</f>
        <v>First Impression (Physical)</v>
      </c>
      <c r="I14" s="75">
        <f>IF(A14="","",IF(DW14,0,INDEX(TypeChart[],MATCH(K14,TypeChart[AttackType ↓ / DefendingType →],0),MATCH(INDEX(TeamData[Type1],MATCH(A14,TeamData[Pokemon],0)),TypeChart[#Headers],0))*IF(INDEX(TeamData[Type2],MATCH(A14,TeamData[Pokemon],0))="",1,INDEX(TypeChart[],MATCH(K14,TypeChart[AttackType ↓ / DefendingType →],0),MATCH(INDEX(TeamData[Type2],MATCH(A14,TeamData[Pokemon],0)),TypeChart[#Headers],0)))))</f>
        <v>1</v>
      </c>
      <c r="J14" s="85" t="str">
        <f t="shared" si="3"/>
        <v>Opponent has priority</v>
      </c>
      <c r="K14" s="30" t="str" cm="1">
        <f t="array" ref="K14">IF(A14="","",_xlfn.LET(
        _xlpm.moveName, LEFT(H14,IFERROR(FIND(" (",H14)-1,LEN(H14))),
        _xlpm.oppMove1, INDEX(Opponent[Move1],MATCH(1,(Opponent[Pokemon]=$B$4)*(Opponent[Battle]=$B$3),0)),
        _xlpm.oppMove2, INDEX(Opponent[Move2],MATCH(1,(Opponent[Pokemon]=$B$4)*(Opponent[Battle]=$B$3),0)),
        _xlpm.oppMove3, INDEX(Opponent[Move3],MATCH(1,(Opponent[Pokemon]=$B$4)*(Opponent[Battle]=$B$3),0)),
        _xlpm.oppMove4, INDEX(Opponent[Move4],MATCH(1,(Opponent[Pokemon]=$B$4)*(Opponent[Battle]=$B$3),0)),
        IF(_xlpm.moveName=_xlpm.oppMove1, INDEX(Opponent[Move1Type],MATCH(1,(Opponent[Pokemon]=$B$4)*(Opponent[Battle]=$B$3),0)),
        IF(_xlpm.moveName=_xlpm.oppMove2, INDEX(Opponent[Move2Type],MATCH(1,(Opponent[Pokemon]=$B$4)*(Opponent[Battle]=$B$3),0)),
        IF(_xlpm.moveName=_xlpm.oppMove3, INDEX(Opponent[Move3Type],MATCH(1,(Opponent[Pokemon]=$B$4)*(Opponent[Battle]=$B$3),0)),
        IF(_xlpm.moveName=_xlpm.oppMove4, INDEX(Opponent[Move4Type],MATCH(1,(Opponent[Pokemon]=$B$4)*(Opponent[Battle]=$B$3),0)),
        ""))))
    ))</f>
        <v>Bug</v>
      </c>
      <c r="L14" s="30"/>
      <c r="M14" s="30"/>
      <c r="N14" s="30" t="str">
        <f>_xlfn.XLOOKUP($A14,TeamData[Pokemon],TeamData[Move1])</f>
        <v>Toxic</v>
      </c>
      <c r="O14" s="30" t="str">
        <f>_xlfn.XLOOKUP($A14,TeamData[Pokemon],TeamData[Move1Type])</f>
        <v>Poison</v>
      </c>
      <c r="P14" s="30">
        <f>_xlfn.XLOOKUP($A14,TeamData[Pokemon],TeamData[Move1Power])</f>
        <v>0</v>
      </c>
      <c r="Q14" s="30" t="str">
        <f>_xlfn.XLOOKUP($A14,TeamData[Pokemon],TeamData[Move1Category])</f>
        <v>Status</v>
      </c>
      <c r="R14" s="30">
        <f>INDEX(TypeChart[],MATCH(O14,TypeChart[AttackType ↓ / DefendingType →],0),MATCH($N$2,TypeChart[#Headers],0))
*
IF(OR($O$2="",$O$2=0),1,
INDEX(TypeChart[],MATCH(O14,TypeChart[AttackType ↓ / DefendingType →],0),MATCH($O$2,TypeChart[#Headers],0)))</f>
        <v>1</v>
      </c>
      <c r="S14" s="30">
        <f>IF(OR(O14=INDEX(TeamData[Type1],MATCH(A14,TeamData[Pokemon],0)),O14=INDEX(TeamData[Type2],MATCH(A14,TeamData[Pokemon],0))),$BH14,1)</f>
        <v>1.5</v>
      </c>
      <c r="T14" s="30">
        <f>R14*S14</f>
        <v>1.5</v>
      </c>
      <c r="U14" s="30" cm="1">
        <f t="array" ref="U14">_xlfn.LET(
    _xlpm.dmgMethod, DL14,
    _xlpm.movePower, P14,
    _xlpm.moveCategory, Q14,
    _xlpm.moveType, O14,
    _xlpm.moveHits, IFERROR(VLOOKUP(N14,MoveData[],6,FALSE),1),
    _xlpm.effectiveness, R14,
    _xlpm.stabMod, S14,
    _xlpm.techMod, $BJ14,
    _xlpm.outMod, $CD14,
    _xlpm.atkMod, $BI14,
    _xlpm.teamATK, _xlfn.XLOOKUP($A14,TeamData[Pokemon],TeamData[ATK]),
    _xlpm.teamSPA, _xlfn.XLOOKUP($A14,TeamData[Pokemon],TeamData[SPA]),
    _xlpm.teamDEF, _xlfn.XLOOKUP($A14,TeamData[Pokemon],TeamData[DEF]),
    _xlpm.oppATK, $AU14,
    _xlpm.oppDEF, $AV14,
    _xlpm.oppSPD, $AX14,
    _xlpm.heldItem, _xlfn.XLOOKUP($A14,TeamData[Pokemon],TeamData[Held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0</v>
      </c>
      <c r="V14" s="30" t="str">
        <f>_xlfn.XLOOKUP($A14,TeamData[Pokemon],TeamData[Move2])</f>
        <v>Stun Spore</v>
      </c>
      <c r="W14" s="30" t="str">
        <f>_xlfn.XLOOKUP($A14,TeamData[Pokemon],TeamData[Move2Type])</f>
        <v>Grass</v>
      </c>
      <c r="X14" s="30">
        <f>_xlfn.XLOOKUP($A14,TeamData[Pokemon],TeamData[Move2Power])</f>
        <v>0</v>
      </c>
      <c r="Y14" s="30" t="str">
        <f>_xlfn.XLOOKUP($A14,TeamData[Pokemon],TeamData[Move2Category])</f>
        <v>Status</v>
      </c>
      <c r="Z14" s="30">
        <f>INDEX(TypeChart[],MATCH(W14,TypeChart[AttackType ↓ / DefendingType →],0),MATCH($N$2,TypeChart[#Headers],0))*IF(OR($O$2="",$O$2=0),1,INDEX(TypeChart[],MATCH(W14,TypeChart[AttackType ↓ / DefendingType →],0),MATCH($O$2,TypeChart[#Headers],0)))</f>
        <v>1</v>
      </c>
      <c r="AA14" s="30">
        <f>IF(OR(W14=INDEX(TeamData[Type1],MATCH(A14,TeamData[Pokemon],0)),W14=INDEX(TeamData[Type2],MATCH(A14,TeamData[Pokemon],0))),$BH14,1)</f>
        <v>1.5</v>
      </c>
      <c r="AB14" s="30">
        <f>Z14*AA14</f>
        <v>1.5</v>
      </c>
      <c r="AC14" s="30" cm="1">
        <f t="array" ref="AC14">_xlfn.LET(
    _xlpm.dmgMethod, DM14,
    _xlpm.movePower, X14,
    _xlpm.moveCategory, Y14,
    _xlpm.moveType, W14,
    _xlpm.moveHits, IFERROR(VLOOKUP(V14,MoveData[],6,FALSE),1),
    _xlpm.effectiveness, Z14,
    _xlpm.stabMod, AA14,
    _xlpm.techMod, $BK14,
    _xlpm.outMod, $CE14,
    _xlpm.atkMod, $BI14,
    _xlpm.teamATK, _xlfn.XLOOKUP($A14,TeamData[Pokemon],TeamData[ATK]),
    _xlpm.teamSPA, _xlfn.XLOOKUP($A14,TeamData[Pokemon],TeamData[SPA]),
    _xlpm.teamDEF, _xlfn.XLOOKUP($A14,TeamData[Pokemon],TeamData[DEF]),
    _xlpm.oppATK, $AU14,
    _xlpm.oppDEF, $AV14,
    _xlpm.oppSPD, $AX14,
    _xlpm.heldItem, _xlfn.XLOOKUP($A14,TeamData[Pokemon],TeamData[Held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0</v>
      </c>
      <c r="AD14" s="30" t="str">
        <f>_xlfn.XLOOKUP($A14,TeamData[Pokemon],TeamData[Move3])</f>
        <v>Giga Drain</v>
      </c>
      <c r="AE14" s="30" t="str">
        <f>_xlfn.XLOOKUP($A14,TeamData[Pokemon],TeamData[Move3Type])</f>
        <v>Grass</v>
      </c>
      <c r="AF14" s="30">
        <f>_xlfn.XLOOKUP($A14,TeamData[Pokemon],TeamData[Move3Power])</f>
        <v>75</v>
      </c>
      <c r="AG14" s="30" t="str">
        <f>_xlfn.XLOOKUP($A14,TeamData[Pokemon],TeamData[Move3Category])</f>
        <v>Special</v>
      </c>
      <c r="AH14" s="30">
        <f>INDEX(TypeChart[],MATCH(AE14,TypeChart[AttackType ↓ / DefendingType →],0),MATCH($N$2,TypeChart[#Headers],0))*IF(OR($O$2="",$O$2=0),1,INDEX(TypeChart[],MATCH(AE14,TypeChart[AttackType ↓ / DefendingType →],0),MATCH($O$2,TypeChart[#Headers],0)))</f>
        <v>1</v>
      </c>
      <c r="AI14" s="30">
        <f>IF(OR(AE14=INDEX(TeamData[Type1],MATCH(A14,TeamData[Pokemon],0)),AE14=INDEX(TeamData[Type2],MATCH(A14,TeamData[Pokemon],0))),$BH14,1)</f>
        <v>1.5</v>
      </c>
      <c r="AJ14" s="30">
        <f>AH14*AI14</f>
        <v>1.5</v>
      </c>
      <c r="AK14" s="30" cm="1">
        <f t="array" ref="AK14">_xlfn.LET(
    _xlpm.dmgMethod, DN14,
    _xlpm.movePower, AF14,
    _xlpm.moveCategory, AG14,
    _xlpm.moveType, AE14,
    _xlpm.moveHits, IFERROR(VLOOKUP(AD14,MoveData[],6,FALSE),1),
    _xlpm.effectiveness, AH14,
    _xlpm.stabMod, AI14,
    _xlpm.techMod, $BL14,
    _xlpm.outMod, $CF14,
    _xlpm.atkMod, $BI14,
    _xlpm.teamATK, _xlfn.XLOOKUP($A14,TeamData[Pokemon],TeamData[ATK]),
    _xlpm.teamSPA, _xlfn.XLOOKUP($A14,TeamData[Pokemon],TeamData[SPA]),
    _xlpm.teamDEF, _xlfn.XLOOKUP($A14,TeamData[Pokemon],TeamData[DEF]),
    _xlpm.oppATK, $AU14,
    _xlpm.oppDEF, $AV14,
    _xlpm.oppSPD, $AX14,
    _xlpm.heldItem, _xlfn.XLOOKUP($A14,TeamData[Pokemon],TeamData[Held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148.85445342331943</v>
      </c>
      <c r="AL14" s="30" t="str">
        <f>_xlfn.XLOOKUP($A14,TeamData[Pokemon],TeamData[Move4])</f>
        <v>Energy Ball</v>
      </c>
      <c r="AM14" s="30" t="str">
        <f>_xlfn.XLOOKUP($A14,TeamData[Pokemon],TeamData[Move4Type])</f>
        <v>Grass</v>
      </c>
      <c r="AN14" s="30">
        <f>_xlfn.XLOOKUP($A14,TeamData[Pokemon],TeamData[Move4Power])</f>
        <v>90</v>
      </c>
      <c r="AO14" s="30" t="str">
        <f>_xlfn.XLOOKUP($A14,TeamData[Pokemon],TeamData[Move4Category])</f>
        <v>Special</v>
      </c>
      <c r="AP14" s="30">
        <f>INDEX(TypeChart[],MATCH(AM14,TypeChart[AttackType ↓ / DefendingType →],0),MATCH($N$2,TypeChart[#Headers],0))*IF(OR($O$2="",$O$2=0),1,INDEX(TypeChart[],MATCH(AM14,TypeChart[AttackType ↓ / DefendingType →],0),MATCH($O$2,TypeChart[#Headers],0)))</f>
        <v>1</v>
      </c>
      <c r="AQ14" s="30">
        <f>IF(OR(AM14=INDEX(TeamData[Type1],MATCH(A14,TeamData[Pokemon],0)),AM14=INDEX(TeamData[Type2],MATCH(A14,TeamData[Pokemon],0))),$BH14,1)</f>
        <v>1.5</v>
      </c>
      <c r="AR14" s="30">
        <f>AP14*AQ14</f>
        <v>1.5</v>
      </c>
      <c r="AS14" s="30" cm="1">
        <f t="array" ref="AS14">_xlfn.LET(
    _xlpm.dmgMethod, DO14,
    _xlpm.movePower, AN14,
    _xlpm.moveCategory, AO14,
    _xlpm.moveType, AM14,
    _xlpm.moveHits, IFERROR(VLOOKUP(AL14,MoveData[],6,FALSE),1),
    _xlpm.effectiveness, AP14,
    _xlpm.stabMod, AQ14,
    _xlpm.techMod, $BM14,
    _xlpm.outMod, $CG14,
    _xlpm.atkMod, $BI14,
    _xlpm.teamATK, _xlfn.XLOOKUP($A14,TeamData[Pokemon],TeamData[ATK]),
    _xlpm.teamSPA, _xlfn.XLOOKUP($A14,TeamData[Pokemon],TeamData[SPA]),
    _xlpm.teamDEF, _xlfn.XLOOKUP($A14,TeamData[Pokemon],TeamData[DEF]),
    _xlpm.oppATK, $AU14,
    _xlpm.oppDEF, $AV14,
    _xlpm.oppSPD, $AX14,
    _xlpm.heldItem, _xlfn.XLOOKUP($A14,TeamData[Pokemon],TeamData[Held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178.6253441079833</v>
      </c>
      <c r="AT14" s="30" cm="1">
        <f t="array" ref="AT14">IFERROR(INDEX(Opponent[Level],MATCH(1,(Opponent[Trainer]=$B$2)*(Opponent[Battle]=$B$3)*(Opponent[Pokemon]=$B$4),0)),0)</f>
        <v>51</v>
      </c>
      <c r="AU14" s="30" cm="1">
        <f t="array" ref="AU14">IFERROR(((2*INDEX(Opponent[ATK],MATCH(1,(Opponent[Trainer]=$B$2)*(Opponent[Battle]=$B$3)*(Opponent[Pokemon]=$B$4),0))+31)*$AT14/100)+5,0)</f>
        <v>148.31</v>
      </c>
      <c r="AV14" s="30" cm="1">
        <f t="array" ref="AV14">IFERROR(((2*INDEX(Opponent[DEF],MATCH(1,(Opponent[Trainer]=$B$2)*(Opponent[Battle]=$B$3)*(Opponent[Pokemon]=$B$4),0))+31)*$AT14/100)+5,0)</f>
        <v>163.61000000000001</v>
      </c>
      <c r="AW14" s="30" cm="1">
        <f t="array" ref="AW14">IFERROR(((2*INDEX(Opponent[SPA],MATCH(1,(Opponent[Trainer]=$B$2)*(Opponent[Battle]=$B$3)*(Opponent[Pokemon]=$B$4),0))+31)*$AT14/100)+5,0)</f>
        <v>82.01</v>
      </c>
      <c r="AX14" s="30" cm="1">
        <f t="array" ref="AX14">IFERROR(((2*INDEX(Opponent[SPD],MATCH(1,(Opponent[Trainer]=$B$2)*(Opponent[Battle]=$B$3)*(Opponent[Pokemon]=$B$4),0))+31)*$AT14/100)+5,0)</f>
        <v>112.61</v>
      </c>
      <c r="AY14" s="30" cm="1">
        <f t="array" ref="AY14">IFERROR(((2*INDEX(Opponent[SPE],MATCH(1,(Opponent[Trainer]=$B$2)*(Opponent[Battle]=$B$3)*(Opponent[Pokemon]=$B$4),0))+31)*$AT14/100)+5,0)</f>
        <v>61.61</v>
      </c>
      <c r="AZ14" s="30" cm="1">
        <f t="array" ref="AZ14">IFERROR(((2*INDEX(Opponent[HP],MATCH(1,(Opponent[Trainer]=$B$2)*(Opponent[Battle]=$B$3)*(Opponent[Pokemon]=$B$4),0))+31)*Table8[[#This Row],[OpponentLevel]]/100)+Table8[[#This Row],[OpponentLevel]]+10,0)</f>
        <v>153.31</v>
      </c>
      <c r="BA14" s="30">
        <f>IF(OR(Table8[[#This Row],[ApproxHP]]="",Table8[[#This Row],[ApproxHP]]=0),"",IFERROR(Table8[[#This Row],[BestMoveScoreNumeric]]/Table8[[#This Row],[ApproxHP]],""))</f>
        <v>1.1651251980169806</v>
      </c>
      <c r="BB14" s="30">
        <f>IFERROR(VLOOKUP(A14,TeamData[],30,FALSE),"")</f>
        <v>100</v>
      </c>
      <c r="BC14" s="30" t="str" cm="1">
        <f t="array" ref="BC14">IFERROR(INDEX(Opponent[Ability],MATCH(1,(Opponent[Pokemon]=$B$4)*(Opponent[Battle]=$B$3)*(Opponent[Trainer]=$B$2),0)),"")</f>
        <v>Emergency Exit</v>
      </c>
      <c r="BD14" s="30" cm="1">
        <f t="array" ref="BD14">IF(A14="",1,IF($BB14="",1,IF(SUMPRODUCT((AbilityRules[Ability]=$BB14)*(AbilityRules[Effect]="Immunity")*(AbilityRules[TargetType]=IFERROR(INDEX(Opponent[Move1Type],MATCH(1,(Opponent[Pokemon]=$B$4)*(Opponent[Battle]=$B$3)*(Opponent[Trainer]=$B$2),0)),"")))&gt;0,0,IF(SUMPRODUCT((AbilityRules[Ability]=$BB14)*(AbilityRules[Effect]="Reduction")*(AbilityRules[TargetType]=IFERROR(INDEX(Opponent[Move1Type],MATCH(1,(Opponent[Pokemon]=$B$4)*(Opponent[Battle]=$B$3)*(Opponent[Trainer]=$B$2),0)),"")))&gt;0,0.5,1))))</f>
        <v>1</v>
      </c>
      <c r="BE14" s="30" cm="1">
        <f t="array" ref="BE14">IF(A14="",1,IF($BB14="",1,IF(SUMPRODUCT((AbilityRules[Ability]=$BB14)*(AbilityRules[Effect]="Immunity")*(AbilityRules[TargetType]=IFERROR(INDEX(Opponent[Move2Type],MATCH(1,(Opponent[Pokemon]=$B$4)*(Opponent[Battle]=$B$3)*(Opponent[Trainer]=$B$2),0)),"")))&gt;0,0,IF(SUMPRODUCT((AbilityRules[Ability]=$BB14)*(AbilityRules[Effect]="Reduction")*(AbilityRules[TargetType]=IFERROR(INDEX(Opponent[Move2Type],MATCH(1,(Opponent[Pokemon]=$B$4)*(Opponent[Battle]=$B$3)*(Opponent[Trainer]=$B$2),0)),"")))&gt;0,0.5,1))))</f>
        <v>1</v>
      </c>
      <c r="BF14" s="30" cm="1">
        <f t="array" ref="BF14">IF(A14="",1,IF($BB14="",1,IF(SUMPRODUCT((AbilityRules[Ability]=$BB14)*(AbilityRules[Effect]="Immunity")*(AbilityRules[TargetType]=IFERROR(INDEX(Opponent[Move3Type],MATCH(1,(Opponent[Pokemon]=$B$4)*(Opponent[Battle]=$B$3)*(Opponent[Trainer]=$B$2),0)),"")))&gt;0,0,IF(SUMPRODUCT((AbilityRules[Ability]=$BB14)*(AbilityRules[Effect]="Reduction")*(AbilityRules[TargetType]=IFERROR(INDEX(Opponent[Move3Type],MATCH(1,(Opponent[Pokemon]=$B$4)*(Opponent[Battle]=$B$3)*(Opponent[Trainer]=$B$2),0)),"")))&gt;0,0.5,1))))</f>
        <v>1</v>
      </c>
      <c r="BG14" s="30" cm="1">
        <f t="array" ref="BG14">IF(A14="",1,IF($BB14="",1,IF(SUMPRODUCT((AbilityRules[Ability]=$BB14)*(AbilityRules[Effect]="Immunity")*(AbilityRules[TargetType]=IFERROR(INDEX(Opponent[Move4Type],MATCH(1,(Opponent[Pokemon]=$B$4)*(Opponent[Battle]=$B$3)*(Opponent[Trainer]=$B$2),0)),"")))&gt;0,0,IF(SUMPRODUCT((AbilityRules[Ability]=$BB14)*(AbilityRules[Effect]="Reduction")*(AbilityRules[TargetType]=IFERROR(INDEX(Opponent[Move4Type],MATCH(1,(Opponent[Pokemon]=$B$4)*(Opponent[Battle]=$B$3)*(Opponent[Trainer]=$B$2),0)),"")))&gt;0,0.5,1))))</f>
        <v>1</v>
      </c>
      <c r="BH14" s="30">
        <f t="shared" si="8"/>
        <v>1.5</v>
      </c>
      <c r="BI14" s="30">
        <f t="shared" si="9"/>
        <v>1</v>
      </c>
      <c r="BJ14" s="30">
        <f>IF(A14="",1,IF(AND($BB14="Technician",IFERROR(INDEX(TeamData[Move1Power],MATCH(A14,TeamData[Pokemon],0)),0)&lt;=60,IFERROR(INDEX(TeamData[Move1Power],MATCH(A14,TeamData[Pokemon],0)),0)&gt;0),1.5,1))</f>
        <v>1</v>
      </c>
      <c r="BK14" s="30">
        <f>IF(A14="",1,IF(AND($BB14="Technician",IFERROR(INDEX(TeamData[Move2Power],MATCH(A14,TeamData[Pokemon],0)),0)&lt;=60,IFERROR(INDEX(TeamData[Move2Power],MATCH(A14,TeamData[Pokemon],0)),0)&gt;0),1.5,1))</f>
        <v>1</v>
      </c>
      <c r="BL14" s="30">
        <f>IF(A14="",1,IF(AND($BB14="Technician",IFERROR(INDEX(TeamData[Move3Power],MATCH(A14,TeamData[Pokemon],0)),0)&lt;=60,IFERROR(INDEX(TeamData[Move3Power],MATCH(A14,TeamData[Pokemon],0)),0)&gt;0),1.5,1))</f>
        <v>1</v>
      </c>
      <c r="BM14" s="30">
        <f>IF(A14="",1,IF(AND($BB14="Technician",IFERROR(INDEX(TeamData[Move4Power],MATCH(A14,TeamData[Pokemon],0)),0)&lt;=60,IFERROR(INDEX(TeamData[Move4Power],MATCH(A14,TeamData[Pokemon],0)),0)&gt;0),1.5,1))</f>
        <v>1</v>
      </c>
      <c r="BN14" s="30" t="str" cm="1">
        <f t="array" ref="BN14">IFERROR(INDEX(Opponent[Move1Type],MATCH(1,(Opponent[Pokemon]=$B$4)*(Opponent[Battle]=$B$3)*(Opponent[Trainer]=$B$2),0)),"")</f>
        <v>Bug</v>
      </c>
      <c r="BO14" s="30" t="str" cm="1">
        <f t="array" ref="BO14">IFERROR(INDEX(Opponent[Move2Type],MATCH(1,(Opponent[Pokemon]=$B$4)*(Opponent[Battle]=$B$3)*(Opponent[Trainer]=$B$2),0)),"")</f>
        <v>Water</v>
      </c>
      <c r="BP14" s="30" t="str" cm="1">
        <f t="array" ref="BP14">IFERROR(INDEX(Opponent[Move3Type],MATCH(1,(Opponent[Pokemon]=$B$4)*(Opponent[Battle]=$B$3)*(Opponent[Trainer]=$B$2),0)),"")</f>
        <v>Normal</v>
      </c>
      <c r="BQ14" s="30" t="str" cm="1">
        <f t="array" ref="BQ14">IFERROR(INDEX(Opponent[Move4Type],MATCH(1,(Opponent[Pokemon]=$B$4)*(Opponent[Battle]=$B$3)*(Opponent[Trainer]=$B$2),0)),"")</f>
        <v>Ghost</v>
      </c>
      <c r="BR14" s="30">
        <f>IF(OR(A14="",BN14=""),0,IFERROR(VLOOKUP(BN14,TypeChart[],MATCH(VLOOKUP(A14,TeamData[],2,FALSE),TypeChart[#Headers],0),FALSE)*IF(VLOOKUP(A14,TeamData[],3,FALSE)="",1,VLOOKUP(BN14,TypeChart[],MATCH(VLOOKUP(A14,TeamData[],3,FALSE),TypeChart[#Headers],0),FALSE)),0))</f>
        <v>1</v>
      </c>
      <c r="BS14" s="30">
        <f>IF(OR(A14="",BO14=""),0,IFERROR(VLOOKUP(BO14,TypeChart[],MATCH(VLOOKUP(A14,TeamData[],2,FALSE),TypeChart[#Headers],0),FALSE)*IF(VLOOKUP(A14,TeamData[],3,FALSE)="",1,VLOOKUP(BO14,TypeChart[],MATCH(VLOOKUP(A14,TeamData[],3,FALSE),TypeChart[#Headers],0),FALSE)),0))</f>
        <v>0.5</v>
      </c>
      <c r="BT14" s="30">
        <f>IF(OR(A14="",BP14=""),0,IFERROR(VLOOKUP(BP14,TypeChart[],MATCH(VLOOKUP(A14,TeamData[],2,FALSE),TypeChart[#Headers],0),FALSE)*IF(VLOOKUP(A14,TeamData[],3,FALSE)="",1,VLOOKUP(BP14,TypeChart[],MATCH(VLOOKUP(A14,TeamData[],3,FALSE),TypeChart[#Headers],0),FALSE)),0))</f>
        <v>1</v>
      </c>
      <c r="BU14" s="30">
        <f>IF(OR(A14="",BQ14=""),0,IFERROR(VLOOKUP(BQ14,TypeChart[],MATCH(VLOOKUP(A14,TeamData[],2,FALSE),TypeChart[#Headers],0),FALSE)*IF(VLOOKUP(A14,TeamData[],3,FALSE)="",1,VLOOKUP(BQ14,TypeChart[],MATCH(VLOOKUP(A14,TeamData[],3,FALSE),TypeChart[#Headers],0),FALSE)),0))</f>
        <v>1</v>
      </c>
      <c r="BV14" s="30">
        <f t="shared" si="45"/>
        <v>0</v>
      </c>
      <c r="BW14" s="30">
        <f t="shared" si="45"/>
        <v>0</v>
      </c>
      <c r="BX14" s="30">
        <f t="shared" si="45"/>
        <v>0</v>
      </c>
      <c r="BY14" s="30">
        <f t="shared" si="45"/>
        <v>0</v>
      </c>
      <c r="BZ14" s="30">
        <f>BD14*IF(AND(BV14=1,OR(BB14="Filter",BB14="Solid Rock",BB14="Prism Armor")),0.75,1)</f>
        <v>1</v>
      </c>
      <c r="CA14" s="30">
        <f>BE14*IF(AND(BW14=1,OR(BB14="Filter",BB14="Solid Rock",BB14="Prism Armor")),0.75,1)</f>
        <v>1</v>
      </c>
      <c r="CB14" s="30">
        <f>BF14*IF(AND(BX14=1,OR(BB14="Filter",BB14="Solid Rock",BB14="Prism Armor")),0.75,1)</f>
        <v>1</v>
      </c>
      <c r="CC14" s="30">
        <f>BG14*IF(AND(BY14=1,OR(BB14="Filter",BB14="Solid Rock",BB14="Prism Armor")),0.75,1)</f>
        <v>1</v>
      </c>
      <c r="CD14" s="30">
        <f t="shared" si="18"/>
        <v>1</v>
      </c>
      <c r="CE14" s="30">
        <f t="shared" si="19"/>
        <v>1</v>
      </c>
      <c r="CF14" s="30">
        <f t="shared" si="20"/>
        <v>1</v>
      </c>
      <c r="CG14" s="30">
        <f t="shared" si="21"/>
        <v>1</v>
      </c>
      <c r="CH14" s="30">
        <f t="shared" si="22"/>
        <v>0</v>
      </c>
      <c r="CI14" s="30">
        <f t="shared" si="23"/>
        <v>0</v>
      </c>
      <c r="CJ14" s="30">
        <f t="shared" si="24"/>
        <v>0</v>
      </c>
      <c r="CK14" s="30" t="e">
        <f>IF(A14="",0,IF(E14&gt;AVERAGEIF($A$10:$A$15,"&lt;&gt;",$E$10:$E$15)*1.5,1,0))</f>
        <v>#DIV/0!</v>
      </c>
      <c r="CL14" s="30">
        <f t="shared" si="25"/>
        <v>6</v>
      </c>
      <c r="CM14">
        <f t="shared" si="26"/>
        <v>0.55226093402520382</v>
      </c>
      <c r="CN14" s="30" cm="1">
        <f t="array" ref="CN14">IF(OR(A14="", FV14="", FV14=0), "", SMALL(IF($A$10:$A$15&lt;&gt;"", $FV$10:$FV$15), 2) / FV14)</f>
        <v>0.85185185185185197</v>
      </c>
      <c r="CO14" s="30">
        <f>IF(OR(A14="",C14=""),0,IF(OR(IFERROR(VLOOKUP(C14,TypeChart[],MATCH($N$2,TypeChart[#Headers],0),FALSE),1)&gt;1,IF($O$2="",FALSE,IFERROR(VLOOKUP(C14,TypeChart[],MATCH($O$2,TypeChart[#Headers],0),FALSE),1)&gt;1)),1,0))</f>
        <v>1</v>
      </c>
      <c r="CP14" s="30">
        <f>IF(A14="","",IF(AND(CO14=1,OR(C14=INDEX(TeamData[Type1],MATCH(A14,TeamData[Pokemon],0)),C14=INDEX(TeamData[Type2],MATCH(A14,TeamData[Pokemon],0)))),1,0))</f>
        <v>1</v>
      </c>
      <c r="CQ14" s="43">
        <f t="shared" si="27"/>
        <v>0</v>
      </c>
      <c r="CR14">
        <f t="shared" si="28"/>
        <v>0</v>
      </c>
      <c r="CS14" t="str">
        <f t="shared" si="29"/>
        <v/>
      </c>
      <c r="CT14" s="30" t="str">
        <f t="shared" si="30"/>
        <v/>
      </c>
      <c r="CU14" s="30" cm="1">
        <f t="array" ref="CU14">IF(A14="","",
        IF(OR(
            AND(OR(BR14=0,BD14=0),IFERROR(INDEX(Opponent[Move1Power],MATCH(1,(Opponent[Pokemon]=$B$4)*(Opponent[Battle]=$B$3)*(Opponent[Trainer]=$B$2),0))*1,0)&gt;=CX14,IFERROR(INDEX(Opponent[Move1Power],MATCH(1,(Opponent[Pokemon]=$B$4)*(Opponent[Battle]=$B$3)*(Opponent[Trainer]=$B$2),0))*1,0)&gt;0),
            AND(OR(BS14=0,BE14=0),IFERROR(INDEX(Opponent[Move2Power],MATCH(1,(Opponent[Pokemon]=$B$4)*(Opponent[Battle]=$B$3)*(Opponent[Trainer]=$B$2),0))*1,0)&gt;=CX14,IFERROR(INDEX(Opponent[Move2Power],MATCH(1,(Opponent[Pokemon]=$B$4)*(Opponent[Battle]=$B$3)*(Opponent[Trainer]=$B$2),0))*1,0)&gt;0),
            AND(OR(BT14=0,BF14=0),IFERROR(INDEX(Opponent[Move3Power],MATCH(1,(Opponent[Pokemon]=$B$4)*(Opponent[Battle]=$B$3)*(Opponent[Trainer]=$B$2),0))*1,0)&gt;=CX14,IFERROR(INDEX(Opponent[Move3Power],MATCH(1,(Opponent[Pokemon]=$B$4)*(Opponent[Battle]=$B$3)*(Opponent[Trainer]=$B$2),0))*1,0)&gt;0),
            AND(OR(BU14=0,BG14=0),IFERROR(INDEX(Opponent[Move4Power],MATCH(1,(Opponent[Pokemon]=$B$4)*(Opponent[Battle]=$B$3)*(Opponent[Trainer]=$B$2),0))*1,0)&gt;=CX14,IFERROR(INDEX(Opponent[Move4Power],MATCH(1,(Opponent[Pokemon]=$B$4)*(Opponent[Battle]=$B$3)*(Opponent[Trainer]=$B$2),0))*1,0)&gt;0)
        ),1,0))</f>
        <v>0</v>
      </c>
      <c r="CV14" s="30" t="str" cm="1">
        <f t="array" ref="CV14">IF(CU14=0,"",
        IF(AND(OR(BR14=0,BD14=0),IFERROR(INDEX(Opponent[Move1Power],MATCH(1,(Opponent[Pokemon]=$B$4)*(Opponent[Battle]=$B$3)*(Opponent[Trainer]=$B$2),0))*1,0)&gt;0),BN14,
        IF(AND(OR(BS14=0,BE14=0),IFERROR(INDEX(Opponent[Move2Power],MATCH(1,(Opponent[Pokemon]=$B$4)*(Opponent[Battle]=$B$3)*(Opponent[Trainer]=$B$2),0))*1,0)&gt;0),BO14,
        IF(AND(OR(BT14=0,BF14=0),IFERROR(INDEX(Opponent[Move3Power],MATCH(1,(Opponent[Pokemon]=$B$4)*(Opponent[Battle]=$B$3)*(Opponent[Trainer]=$B$2),0))*1,0)&gt;0),BP14,
        IF(AND(OR(BU14=0,BG14=0),IFERROR(INDEX(Opponent[Move4Power],MATCH(1,(Opponent[Pokemon]=$B$4)*(Opponent[Battle]=$B$3)*(Opponent[Trainer]=$B$2),0))*1,0)&gt;0),BQ14,"")))))</f>
        <v/>
      </c>
      <c r="CW14" s="30" t="e">
        <f t="shared" si="31"/>
        <v>#N/A</v>
      </c>
      <c r="CX14" s="30">
        <f>IF(A14="","",
            VALUE(IFERROR(VLOOKUP(LEFT(H14,FIND(" (",H14)-1),MoveData[],2,FALSE),0)))</f>
        <v>90</v>
      </c>
      <c r="CY14" s="30" cm="1">
        <f t="array" ref="CY14">INDEX(Opponent[Move3Power],MATCH(1,(Opponent[Pokemon]=$B$4)*(Opponent[Battle]=$B$3)*(Opponent[Trainer]=$B$2),0))</f>
        <v>0</v>
      </c>
      <c r="CZ14" s="30" t="b" cm="1">
        <f t="array" ref="CZ14">AND(BT14=0,IFERROR(INDEX(Opponent[Move3Power],MATCH(1,(Opponent[Pokemon]=$B$4)*(Opponent[Battle]=$B$3)*(Opponent[Trainer]=$B$2),0)),0)&gt;=CX14,IFERROR(INDEX(Opponent[Move3Power],MATCH(1,(Opponent[Pokemon]=$B$4)*(Opponent[Battle]=$B$3)*(Opponent[Trainer]=$B$2),0)),0)&gt;0)</f>
        <v>0</v>
      </c>
      <c r="DA14" s="30" t="b">
        <f t="shared" si="32"/>
        <v>0</v>
      </c>
      <c r="DB14" s="30" t="b">
        <f t="shared" si="33"/>
        <v>1</v>
      </c>
      <c r="DC14" s="43" t="b">
        <f>INDEX(TeamData[SPE],MATCH(Calculator[[#This Row],[Team Member]],TeamData[Pokemon],0))&lt;Table8[[#This Row],[ApproxSPE]]</f>
        <v>0</v>
      </c>
      <c r="DD14" s="43">
        <f>_xlfn.LET(
        _xlpm.teamHP, INDEX(TeamData[HP], MATCH(Calculator[[#This Row],[Team Member]], TeamData[Pokemon], 0)),
        _xlpm.incomingScore, Table8[[#This Row],[IncomingWorstScoreNumeric]],
        IF(OR(_xlpm.teamHP="", _xlpm.teamHP=0), "", IFERROR(_xlpm.incomingScore/_xlpm.teamHP, ""))
    )</f>
        <v>1.4224104859335038</v>
      </c>
      <c r="DE14" s="43" t="b">
        <f>_xlfn.LET(
        _xlpm.teamSPE, INDEX(TeamData[SPE], MATCH(Calculator[[#This Row],[Team Member]], TeamData[Pokemon], 0)),
        _xlpm.opponentSPE, Table8[[#This Row],[ApproxSPE]],
        _xlpm.teamSPE &lt; _xlpm.opponentSPE
    )</f>
        <v>0</v>
      </c>
      <c r="DF14" s="43" t="b" cm="1">
        <f t="array" ref="DF14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_xlpm.isDmax, OR(_xlpm.hasGMax, _xlpm.hasMax),
        _xlpm.offensiveThreshold, IF(_xlpm.isDmax, 2, 1),
        _xlpm.meetsOffensiveOHKO, Table8[[#This Row],[BestMoveHPRatio]]&gt;=_xlpm.offensiveThreshold,
        AND(Table8[[#This Row],[TeamMovesSecond]], _xlpm.meetsOffensiveOHKO, Table8[[#This Row],[LikelySurvivesFirstHit]])
    )</f>
        <v>0</v>
      </c>
      <c r="DG14" s="43" t="str" cm="1">
        <f t="array" ref="DG14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IF(_xlpm.hasGMax, "G-Max", IF(_xlpm.hasMax, "Dmax", ""))
    )</f>
        <v/>
      </c>
      <c r="DH14" s="43" t="str">
        <f>IF(Calculator[[#This Row],[Team Member]]="","",_xlfn.LET(
        _xlpm.opponentSPE, Table8[[#This Row],[ApproxSPE]],
        _xlpm.teamSPE, INDEX(TeamData[SPE], MATCH(Calculator[[#This Row],[Team Member]], TeamData[Pokemon], 0)),
        _xlpm.isFaster, _xlpm.teamSPE&gt;_xlpm.opponentSPE,
        _xlpm.hpRatio, Table8[[#This Row],[BestMoveHPRatio]],
        _xlpm.teamMovesSecond, Table8[[#This Row],[TeamMovesSecond]],
        _xlpm.likelySurvives, Table8[[#This Row],[LikelySurvivesFirstHit]],
        _xlpm.incomingScore, Table8[[#This Row],[IncomingWorstScoreNumeric]],
        _xlpm.hasIncomingDamage, _xlpm.incomingScore&gt;0,
        _xlpm.isDmax, Table8[[#This Row],[DmaxNote]]&lt;&gt;"",
        _xlpm.likelyThreshold, IF(_xlpm.isDmax, 6.5, 3),
        _xlpm.possibleThreshold, IF(_xlpm.isDmax, 4.5, 2),
        _xlpm.meetsLikelyOHKO, _xlpm.hpRatio&gt;=_xlpm.likelyThreshold,
        _xlpm.meetsPossibleOHKO, _xlpm.hpRatio&gt;=_xlpm.possibleThreshold,
        IF(AND(_xlpm.teamMovesSecond, _xlpm.hasIncomingDamage, _xlpm.likelySurvives, _xlpm.meetsLikelyOHKO), "Likely Survival OHKO",
        IF(AND(_xlpm.teamMovesSecond, _xlpm.hasIncomingDamage, _xlpm.likelySurvives, _xlpm.meetsPossibleOHKO), "Possible Survival OHKO",
        IF(OR(_xlpm.isFaster, NOT(_xlpm.hasIncomingDamage)),
            IF(_xlpm.meetsLikelyOHKO, "Likely OHKO",
            IF(_xlpm.meetsPossibleOHKO, "Possible OHKO", "")),
            ""
        )))
    ))</f>
        <v/>
      </c>
      <c r="DI14" s="43" t="str">
        <f>""</f>
        <v/>
      </c>
      <c r="DJ14" s="43" t="str">
        <f>""</f>
        <v/>
      </c>
      <c r="DK14" s="43"/>
      <c r="DL14" s="43">
        <f>IFERROR(VLOOKUP(N14,MoveData[],9,FALSE),"")</f>
        <v>0</v>
      </c>
      <c r="DM14" s="43">
        <f>IFERROR(VLOOKUP(V14,MoveData[],9,FALSE),"")</f>
        <v>0</v>
      </c>
      <c r="DN14" s="43" t="str">
        <f>IFERROR(VLOOKUP(AD14,MoveData[],9,FALSE),"")</f>
        <v>Standard</v>
      </c>
      <c r="DO14" s="43" t="str">
        <f>IFERROR(VLOOKUP(AL14,MoveData[],9,FALSE),"")</f>
        <v>Standard</v>
      </c>
      <c r="DP14" s="43" t="str" cm="1">
        <f t="array" ref="DP14">IFERROR(VLOOKUP(INDEX(Opponent[Move1],MATCH(1,(Opponent[Pokemon]=$B$4)*(Opponent[Battle]=$B$3),0)),MoveData[],9,FALSE),"")</f>
        <v>Standard</v>
      </c>
      <c r="DQ14" s="43" t="str" cm="1">
        <f t="array" ref="DQ14">IFERROR(VLOOKUP(INDEX(Opponent[Move2],MATCH(1,(Opponent[Pokemon]=$B$4)*(Opponent[Battle]=$B$3),0)),MoveData[],9,FALSE),"")</f>
        <v>Standard</v>
      </c>
      <c r="DR14" s="43" cm="1">
        <f t="array" ref="DR14">IFERROR(VLOOKUP(INDEX(Opponent[Move3],MATCH(1,(Opponent[Pokemon]=$B$4)*(Opponent[Battle]=$B$3),0)),MoveData[],9,FALSE),"")</f>
        <v>0</v>
      </c>
      <c r="DS14" s="43" t="str" cm="1">
        <f t="array" ref="DS14">IFERROR(VLOOKUP(INDEX(Opponent[Move4],MATCH(1,(Opponent[Pokemon]=$B$4)*(Opponent[Battle]=$B$3),0)),MoveData[],9,FALSE),"")</f>
        <v>Standard</v>
      </c>
      <c r="DT14" s="43">
        <f>IFERROR(VLOOKUP(Calculator[[#This Row],[Best Move]],MoveData[],8,FALSE),0)</f>
        <v>0</v>
      </c>
      <c r="DU14" s="43">
        <f>IF(H14="",0,IFERROR(VLOOKUP(LEFT(H14,FIND(" (",H14)-1),MoveData[],8,FALSE),0))</f>
        <v>2</v>
      </c>
      <c r="DV14" s="43" t="str">
        <f t="shared" si="34"/>
        <v>Opponent has priority</v>
      </c>
      <c r="DW14" s="43" t="b">
        <f t="shared" si="35"/>
        <v>0</v>
      </c>
      <c r="DX14" s="43" cm="1">
        <f t="array" ref="DX14">IFERROR(VALUE(_xlfn.XLOOKUP($B$4&amp;$B$3,Opponent[Pokemon]&amp;Opponent[Battle],Opponent[Move1Power])),0)</f>
        <v>90</v>
      </c>
      <c r="DY14" s="43" cm="1">
        <f t="array" ref="DY14">IFERROR(VALUE(_xlfn.XLOOKUP($B$4&amp;$B$3,Opponent[Pokemon]&amp;Opponent[Battle],Opponent[Move2Power])),0)</f>
        <v>85</v>
      </c>
      <c r="DZ14" s="43" cm="1">
        <f t="array" ref="DZ14">IFERROR(VALUE(_xlfn.XLOOKUP($B$4&amp;$B$3,Opponent[Pokemon]&amp;Opponent[Battle],Opponent[Move3Power])),0)</f>
        <v>0</v>
      </c>
      <c r="EA14" s="43" cm="1">
        <f t="array" ref="EA14">IFERROR(VALUE(_xlfn.XLOOKUP($B$4&amp;$B$3,Opponent[Pokemon]&amp;Opponent[Battle],Opponent[Move4Power])),0)</f>
        <v>70</v>
      </c>
      <c r="EB14" s="43">
        <f t="shared" si="47"/>
        <v>1</v>
      </c>
      <c r="EC14" s="43" t="str" cm="1">
        <f t="array" ref="EC14">IF(NOT(DW14),"",_xlfn.XLOOKUP($B$4&amp;$B$3,Opponent[Pokemon]&amp;Opponent[Battle],CHOOSE(EB14,Opponent[Move1],Opponent[Move2],Opponent[Move3],Opponent[Move4]))&amp;" ("&amp;_xlfn.XLOOKUP($B$4&amp;$B$3,Opponent[Pokemon]&amp;Opponent[Battle],CHOOSE(EB14,Opponent[Move1Category],Opponent[Move2Category],Opponent[Move3Category],Opponent[Move4Category]))&amp;")")</f>
        <v/>
      </c>
      <c r="ED14" s="43" t="str">
        <f t="shared" si="37"/>
        <v>First Impression (Physical)</v>
      </c>
      <c r="EE14" s="43" t="str">
        <f t="shared" si="38"/>
        <v/>
      </c>
      <c r="EF14" s="43" t="str" cm="1">
        <f t="array" ref="EF14">IFERROR(_xlfn.XLOOKUP($B$4&amp;$B$3,Opponent[Pokemon]&amp;Opponent[Battle],Opponent[Move1]),"")</f>
        <v>First Impression</v>
      </c>
      <c r="EG14" s="43" t="str" cm="1">
        <f t="array" ref="EG14">IFERROR(_xlfn.XLOOKUP($B$4&amp;$B$3,Opponent[Pokemon]&amp;Opponent[Battle],Opponent[Move2]),"")</f>
        <v>Liquidation</v>
      </c>
      <c r="EH14" s="43" t="str" cm="1">
        <f t="array" ref="EH14">IFERROR(_xlfn.XLOOKUP($B$4&amp;$B$3,Opponent[Pokemon]&amp;Opponent[Battle],Opponent[Move3]),"")</f>
        <v>Swords Dance</v>
      </c>
      <c r="EI14" s="43" t="str" cm="1">
        <f t="array" ref="EI14">IFERROR(_xlfn.XLOOKUP($B$4&amp;$B$3,Opponent[Pokemon]&amp;Opponent[Battle],Opponent[Move4]),"")</f>
        <v>Shadow Claw</v>
      </c>
      <c r="EJ14" s="43" t="str">
        <f>IFERROR(_xlfn.XLOOKUP(EF14,MoveData[Move],MoveData[ActivationCondition]),"Always")</f>
        <v>RequiresFirstTurn</v>
      </c>
      <c r="EK14" s="43" t="str">
        <f>IFERROR(_xlfn.XLOOKUP(EG14,MoveData[Move],MoveData[ActivationCondition]),"Always")</f>
        <v>Always</v>
      </c>
      <c r="EL14" s="43" t="str">
        <f>IFERROR(_xlfn.XLOOKUP(EH14,MoveData[Move],MoveData[ActivationCondition]),"Always")</f>
        <v>Always</v>
      </c>
      <c r="EM14" s="43" t="str">
        <f>IFERROR(_xlfn.XLOOKUP(EI14,MoveData[Move],MoveData[ActivationCondition]),"Always")</f>
        <v>Always</v>
      </c>
      <c r="EN14" s="43" t="b">
        <f t="shared" si="48"/>
        <v>1</v>
      </c>
      <c r="EO14" s="43" t="b">
        <f t="shared" si="49"/>
        <v>1</v>
      </c>
      <c r="EP14" s="43" t="b">
        <f t="shared" si="50"/>
        <v>1</v>
      </c>
      <c r="EQ14" s="43" t="b">
        <f t="shared" si="51"/>
        <v>1</v>
      </c>
      <c r="ER14" s="43" t="str">
        <f>IF(A14="","",
        _xlfn.LET(
            _xlpm.bestMove, B14,
            _xlpm.bestMoveContact, IFERROR(_xlfn.XLOOKUP(_xlpm.bestMove, MoveData[Move], MoveData[MakesContact]), FALSE),
            _xlpm.bestMoveCategory, IFERROR(_xlfn.XLOOKUP(_xlpm.bestMove, MoveData[Move], MoveData[Category]), ""),
            _xlpm.oppMove1Cond, EJ14,
            _xlpm.oppMove2Cond, EK14,
            _xlpm.oppMove3Cond, EL14,
            _xlpm.oppMove4Cond, EM14,
            _xlpm.oppMove1, EF14,
            _xlpm.oppMove2, EG14,
            _xlpm.oppMove3, EH14,
            _xlpm.oppMove4, EI14,
            _xlpm.contactRisk, AND(
                _xlpm.bestMoveContact = TRUE,
                OR(_xlpm.oppMove1Cond="RequiresTargetContactMove", _xlpm.oppMove2Cond="RequiresTargetContactMove", _xlpm.oppMove3Cond="RequiresTargetContactMove", _xlpm.oppMove4Cond="RequiresTargetContactMove")
            ),
            _xlpm.physicalRisk, AND(
                _xlpm.bestMoveCategory = "Physical",
                OR(_xlpm.oppMove1Cond="RequiresTargetPhysicalMove", _xlpm.oppMove2Cond="RequiresTargetPhysicalMove", _xlpm.oppMove3Cond="RequiresTargetPhysicalMove", _xlpm.oppMove4Cond="RequiresTargetPhysicalMove")
            ),
            _xlpm.riskMove, IF(_xlpm.contactRisk,
                IF(_xlpm.oppMove1Cond="RequiresTargetContactMove", _xlpm.oppMove1, IF(_xlpm.oppMove2Cond="RequiresTargetContactMove", _xlpm.oppMove2, IF(_xlpm.oppMove3Cond="RequiresTargetContactMove", _xlpm.oppMove3, _xlpm.oppMove4))),
                IF(_xlpm.physicalRisk,
                    IF(_xlpm.oppMove1Cond="RequiresTargetPhysicalMove", _xlpm.oppMove1, IF(_xlpm.oppMove2Cond="RequiresTargetPhysicalMove", _xlpm.oppMove2, IF(_xlpm.oppMove3Cond="RequiresTargetPhysicalMove", _xlpm.oppMove3, _xlpm.oppMove4))),
                    ""
                )
            ),
            IF(OR(_xlpm.contactRisk, _xlpm.physicalRisk), _xlpm.riskMove &amp; " risk", "")
        )
    )</f>
        <v/>
      </c>
      <c r="ES14" s="43" t="str">
        <f>IF(Calculator[[#This Row],[Team Member]]="","",_xlfn.LET(
        _xlpm.isImmune, DW14,
        _xlpm.incomingRatio, DD14,
        _xlpm.likelyThreshold, 3,
        _xlpm.possibleThreshold, 2,
        _xlpm.meetsLikelyIncoming, _xlpm.incomingRatio&gt;=_xlpm.likelyThreshold,
        _xlpm.meetsPossibleIncoming, _xlpm.incomingRatio&gt;=_xlpm.possibleThreshold,
        IF(_xlpm.isImmune, "",
            IF(_xlpm.meetsLikelyIncoming, "Likely Incoming OHKO",
            IF(_xlpm.meetsPossibleIncoming, "Possible Incoming OHKO", "")))
    ))</f>
        <v/>
      </c>
      <c r="ET14" s="43" t="str">
        <f>IF(A14="","",_xlfn.LET(
        _xlpm.opponentAbility, BC14,
        _xlpm.bestMove, B14,
        _xlpm.ohkoNote, DH14,
        _xlpm.tacticalEffect, IFERROR(_xlfn.XLOOKUP(_xlpm.opponentAbility, AbilityRules[Ability], AbilityRules[Effect]), ""),
        _xlpm.tacticalTargetType, IFERROR(_xlfn.XLOOKUP(_xlpm.opponentAbility, AbilityRules[Ability], AbilityRules[TargetType]), ""),
        _xlpm.bestMoveMakesContact, IFERROR(_xlfn.XLOOKUP(_xlpm.bestMove, MoveData[Move], MoveData[MakesContact]), FALSE),
        _xlpm.hasOHKONote, OR(
            ISNUMBER(SEARCH("Likely OHKO", _xlpm.ohkoNote)),
            ISNUMBER(SEARCH("Possible OHKO", _xlpm.ohkoNote)),
            ISNUMBER(SEARCH("Survival OHKO", _xlpm.ohkoNote))
        ),
        IF(_xlpm.tacticalEffect&lt;&gt;"Tactical", "",
            IF(AND(_xlpm.tacticalTargetType="Contact", _xlpm.bestMoveMakesContact=TRUE), _xlpm.opponentAbility&amp;" risk",
            IF(_xlpm.tacticalTargetType="Faint", _xlpm.opponentAbility&amp;" risk",
            IF(AND(_xlpm.tacticalTargetType="OHKO", _xlpm.hasOHKONote), "Sturdy may prevent OHKO",
            "")))
        )
    ))</f>
        <v/>
      </c>
      <c r="EU14" s="43" t="str">
        <f>IFERROR(VLOOKUP(Table8[[#This Row],[Move1]], MoveData[[Move]:[ActivationPowerMultiplier]], 11, FALSE), "Always")</f>
        <v>Always</v>
      </c>
      <c r="EV14" s="43">
        <f>IFERROR(VLOOKUP(Table8[[#This Row],[Move1]], MoveData[[Move]:[ActivationPowerMultiplier]], 13, FALSE), 1)</f>
        <v>1</v>
      </c>
      <c r="EW14" s="43">
        <f>IF(AND(Table8[[#This Row],[Move1ActCond]]&lt;&gt;"Always", LEFT(Table8[[#This Row],[Move1ActCond]],4)="Targ"), Table8[[#This Row],[Move1Score]]*Table8[[#This Row],[Move1ActMult]], 0)</f>
        <v>0</v>
      </c>
      <c r="EX14" s="43" t="str">
        <f>IFERROR(VLOOKUP(Table8[[#This Row],[Move2]], MoveData[[Move]:[ActivationPowerMultiplier]], 11, FALSE), "Always")</f>
        <v>Always</v>
      </c>
      <c r="EY14" s="43">
        <f>IFERROR(VLOOKUP(Table8[[#This Row],[Move2]], MoveData[[Move]:[ActivationPowerMultiplier]], 13, FALSE), 1)</f>
        <v>1</v>
      </c>
      <c r="EZ14" s="43">
        <f>IF(AND(Table8[[#This Row],[Move2ActCond]]&lt;&gt;"Always", LEFT(Table8[[#This Row],[Move2ActCond]],4)="Targ"), Table8[[#This Row],[Move2Score]]*Table8[[#This Row],[Move2ActMult]], 0)</f>
        <v>0</v>
      </c>
      <c r="FA14" s="43" t="str">
        <f>IFERROR(VLOOKUP(Table8[[#This Row],[Move3]], MoveData[[Move]:[ActivationPowerMultiplier]], 11, FALSE), "Always")</f>
        <v>Always</v>
      </c>
      <c r="FB14" s="43">
        <f>IFERROR(VLOOKUP(Table8[[#This Row],[Move3]], MoveData[[Move]:[ActivationPowerMultiplier]], 13, FALSE), 1)</f>
        <v>1</v>
      </c>
      <c r="FC14" s="43">
        <f>IF(AND(Table8[[#This Row],[Move3ActCond]]&lt;&gt;"Always", LEFT(Table8[[#This Row],[Move3ActCond]],4)="Targ"), Table8[[#This Row],[Move3Score]]*Table8[[#This Row],[Move3ActMult]], 0)</f>
        <v>0</v>
      </c>
      <c r="FD14" s="43" t="str">
        <f>IFERROR(VLOOKUP(Table8[[#This Row],[Move4]], MoveData[[Move]:[ActivationPowerMultiplier]], 11, FALSE), "Always")</f>
        <v>Always</v>
      </c>
      <c r="FE14" s="43">
        <f>IFERROR(VLOOKUP(Table8[[#This Row],[Move4]], MoveData[[Move]:[ActivationPowerMultiplier]], 13, FALSE), 1)</f>
        <v>1</v>
      </c>
      <c r="FF14" s="43">
        <f>IF(AND(Table8[[#This Row],[Move4ActCond]]&lt;&gt;"Always", LEFT(Table8[[#This Row],[Move4ActCond]],4)="Targ"), Table8[[#This Row],[Move4Score]]*Table8[[#This Row],[Move4ActMult]], 0)</f>
        <v>0</v>
      </c>
      <c r="FG14" s="43" t="b" cm="1">
        <f t="array" ref="FG14">_xlfn.LET(
        _xlpm.cond1, Table8[[#This Row],[Move1ActCond]],
        _xlpm.cond2, Table8[[#This Row],[Move2ActCond]],
        _xlpm.cond3, Table8[[#This Row],[Move3ActCond]],
        _xlpm.cond4, Table8[[#This Row],[Move4ActCond]],
        _xlpm.hasConditional, OR(_xlpm.cond1&lt;&gt;"Always", _xlpm.cond2&lt;&gt;"Always", _xlpm.cond3&lt;&gt;"Always", _xlpm.cond4&lt;&gt;"Always"),
        IF(NOT(_xlpm.hasConditional), FALSE,
            _xlfn.LET(
                _xlpm.reqStatuses, IFERROR(_xlfn._xlws.FILTER(ConditionRequirements[RequiredStatus],
                    (ConditionRequirements[ActivationCondition]=_xlpm.cond1)+
                    (ConditionRequirements[ActivationCondition]=_xlpm.cond2)+
                    (ConditionRequirements[ActivationCondition]=_xlpm.cond3)+
                    (ConditionRequirements[ActivationCondition]=_xlpm.cond4)), "None"),
                IF(ROWS(_xlpm.reqStatuses)=1, IF(_xlpm.reqStatuses="None", FALSE,
                    SUMPRODUCT(
                        (IFERROR(_xlfn.XLOOKUP(TeamData[Move1], MoveData[Move], MoveData[StatusEffect], ""), "")=_xlpm.reqStatuses)+
                        (IFERROR(_xlfn.XLOOKUP(TeamData[Move2], MoveData[Move], MoveData[StatusEffect], ""), "")=_xlpm.reqStatuses)+
                        (IFERROR(_xlfn.XLOOKUP(TeamData[Move3], MoveData[Move], MoveData[StatusEffect], ""), "")=_xlpm.reqStatuses)+
                        (IFERROR(_xlfn.XLOOKUP(TeamData[Move4], MoveData[Move], MoveData[StatusEffect], ""), "")=_xlpm.reqStatuses)
                    )&gt;0
                ),
                    SUMPRODUCT(
                        MMULT(
                            (IFERROR(_xlfn.XLOOKUP(TeamData[Move1], MoveData[Move], MoveData[StatusEffect], ""), "")=TRANSPOSE(_xlpm.reqStatuses))+
                            (IFERROR(_xlfn.XLOOKUP(TeamData[Move2], MoveData[Move], MoveData[StatusEffect], ""), "")=TRANSPOSE(_xlpm.reqStatuses))+
                            (IFERROR(_xlfn.XLOOKUP(TeamData[Move3], MoveData[Move], MoveData[StatusEffect], ""), "")=TRANSPOSE(_xlpm.reqStatuses))+
                            (IFERROR(_xlfn.XLOOKUP(TeamData[Move4], MoveData[Move], MoveData[StatusEffect], ""), "")=TRANSPOSE(_xlpm.reqStatuses)),
                            _xlfn.SEQUENCE(ROWS(_xlpm.reqStatuses),1,1,0)
                        )
                    )&gt;0
                )
            )
        )
    )</f>
        <v>0</v>
      </c>
      <c r="FH14" s="43" t="str" cm="1">
        <f t="array" ref="FH14">IF(NOT(Table8[[#This Row],[TeamCanStatus]]), "",
        _xlfn.LET(
            _xlpm.scores, _xlfn.HSTACK(Table8[[#This Row],[Move1BoostedScore]], Table8[[#This Row],[Move2BoostedScore]], Table8[[#This Row],[Move3BoostedScore]], Table8[[#This Row],[Move4BoostedScore]]),
            _xlpm.moves, _xlfn.HSTACK(Table8[[#This Row],[Move1]], Table8[[#This Row],[Move2]], Table8[[#This Row],[Move3]], Table8[[#This Row],[Move4]]),
            _xlpm.maxScore, MAX(_xlpm.scores),
            IF(_xlpm.maxScore=0, "", INDEX(_xlpm.moves, MATCH(_xlpm.maxScore, _xlpm.scores, 0)))
        )
    )</f>
        <v/>
      </c>
      <c r="FI14" s="43">
        <f>IF(NOT(Table8[[#This Row],[TeamCanStatus]]), 0, MAX(Table8[[#This Row],[Move1BoostedScore]], Table8[[#This Row],[Move2BoostedScore]], Table8[[#This Row],[Move3BoostedScore]], Table8[[#This Row],[Move4BoostedScore]]))</f>
        <v>0</v>
      </c>
      <c r="FJ14" s="43" t="str">
        <f>IF(ISNUMBER(SEARCH("Likely", Table8[[#This Row],[IncomingOHKONote]])), "",
        IF(AND(Table8[[#This Row],[TeamCanStatus]], Table8[[#This Row],[BestBoostedScore]]&gt;Table8[[#This Row],[BestMoveScoreNumeric]]),
            "Status-boosted "&amp;Table8[[#This Row],[BestConditionalMove]]&amp;" possible",
            ""))</f>
        <v/>
      </c>
      <c r="FK14" s="43" t="b">
        <f>OR(Table8[[#This Row],[Move1]]="Body Press", Table8[[#This Row],[Move2]]="Body Press", Table8[[#This Row],[Move3]]="Body Press", Table8[[#This Row],[Move4]]="Body Press")</f>
        <v>0</v>
      </c>
      <c r="FL14" s="43">
        <f>MAX(
        IFERROR(_xlfn.XLOOKUP(Table8[[#This Row],[Move1]], MoveData[Move], MoveData[DefStageChange], 0), 0),
        IFERROR(_xlfn.XLOOKUP(Table8[[#This Row],[Move2]], MoveData[Move], MoveData[DefStageChange], 0), 0),
        IFERROR(_xlfn.XLOOKUP(Table8[[#This Row],[Move3]], MoveData[Move], MoveData[DefStageChange], 0), 0),
        IFERROR(_xlfn.XLOOKUP(Table8[[#This Row],[Move4]], MoveData[Move], MoveData[DefStageChange], 0), 0)
    )</f>
        <v>0</v>
      </c>
      <c r="FM14" s="43" t="str" cm="1">
        <f t="array" ref="FM14">IF(AND(Table8[[#This Row],[HasBodyPress]], Table8[[#This Row],[MaxDefBoost]]&gt;0),
        _xlfn.LET(
            _xlpm.baseScore, _xlfn.SWITCH(TRUE,
                Table8[[#This Row],[Move1]]="Body Press", Table8[[#This Row],[Move1Score]],
                Table8[[#This Row],[Move2]]="Body Press", Table8[[#This Row],[Move2Score]],
                Table8[[#This Row],[Move3]]="Body Press", Table8[[#This Row],[Move3Score]],
                Table8[[#This Row],[Move4]]="Body Press", Table8[[#This Row],[Move4Score]],
                0
            ),
            _xlpm.stageMultiplier, (2 + Table8[[#This Row],[MaxDefBoost]]) / 2,
            _xlpm.baseScore * _xlpm.stageMultiplier
        ),
        ""
    )</f>
        <v/>
      </c>
      <c r="FN14" s="43" t="str">
        <f>IF(ISNUMBER(SEARCH("Likely", Table8[[#This Row],[IncomingOHKONote]])), "",
        IF(AND(Table8[[#This Row],[BoostedBodyPressScore]]&lt;&gt;"", Table8[[#This Row],[BoostedBodyPressScore]] &gt; Table8[[#This Row],[BestMoveScoreNumeric]]),
            "Defense-boosted Body Press possible",
            ""))</f>
        <v/>
      </c>
      <c r="FO14" s="30" t="b">
        <f>_xlfn.LET(
    _xlpm.heldItem, _xlfn.XLOOKUP($A14,TeamData[Pokemon],TeamData[Held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O14,
    _xlpm.moveCategory, Q14,
    _xlpm.effectiveness, R14,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0</v>
      </c>
      <c r="FP14" s="30" t="b">
        <f>_xlfn.LET(
    _xlpm.heldItem, _xlfn.XLOOKUP($A14,TeamData[Pokemon],TeamData[Held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W14,
    _xlpm.moveCategory, Y14,
    _xlpm.effectiveness, Z14,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0</v>
      </c>
      <c r="FQ14" s="30" t="b">
        <f>_xlfn.LET(
    _xlpm.heldItem, _xlfn.XLOOKUP($A14,TeamData[Pokemon],TeamData[Held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AE14,
    _xlpm.moveCategory, AG14,
    _xlpm.effectiveness, AH14,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0</v>
      </c>
      <c r="FR14" s="30" t="b">
        <f>_xlfn.LET(
    _xlpm.heldItem, _xlfn.XLOOKUP($A14,TeamData[Pokemon],TeamData[Held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AM14,
    _xlpm.moveCategory, AO14,
    _xlpm.effectiveness, AP14,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0</v>
      </c>
      <c r="FS14" s="30" t="b">
        <f t="shared" si="43"/>
        <v>0</v>
      </c>
      <c r="FT14" s="30" t="b">
        <f>_xlfn.LET(
    _xlpm.heldItem, _xlfn.XLOOKUP($A14,TeamData[Pokemon],TeamData[Held Item],""),
    _xlpm.itemEffectType, _xlfn.XLOOKUP(_xlpm.heldItem,Items[Item],Items[EffectType],"None"),
    _xlpm.itemAppliesTo, _xlfn.XLOOKUP(_xlpm.heldItem,Items[Item],Items[AppliesTo],"None"),
    AND(_xlpm.itemEffectType="StatMultiplier", _xlpm.itemAppliesTo="Defense")
)</f>
        <v>0</v>
      </c>
      <c r="FU14" s="30">
        <f t="shared" si="44"/>
        <v>178.6253441079833</v>
      </c>
      <c r="FV14" s="30" cm="1">
        <f t="array" ref="FV14">IF($A14="",
"",
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DP14,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DQ14,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DR14,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DS14,
    _xlpm.teamType1, INDEX(TeamData[Type1],MATCH(A14,TeamData[Pokemon],0)),
    _xlpm.teamType2, INDEX(TeamData[Type2],MATCH(A14,TeamData[Pokemon],0)),
    _xlpm.teamDEF, INDEX(TeamData[EffectiveDEF],MATCH(A14,TeamData[Pokemon],0)),
    _xlpm.teamSPD, INDEX(TeamData[EffectiveSPD],MATCH(A14,TeamData[Pokemon],0)),
    _xlpm.teamATK, INDEX(TeamData[ATK],MATCH(A14,TeamData[Pokemon],0)),
    _xlpm.oppATK, $AU14,
    _xlpm.oppDEF, $AV14,
    _xlpm.oppSPA, $AW14,
    _xlpm.oppType1, $N$2,
    _xlpm.oppType2, $O$2,
    _xlpm.intimidateMod, IF($BB14="Intimidate",0.667,1),
    _xlpm.typeEff1, 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
    _xlpm.typeEff2, 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
    _xlpm.typeEff3, 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
    _xlpm.typeEff4, 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_xlpm.teamSPD)),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_xlpm.teamSPD)),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_xlpm.teamSPD)),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_xlpm.teamSPD)),
    _xlpm.score1, IF(OR(_xlpm.move1Power="Varies", _xlpm.move1DmgMethod="Fixed", _xlpm.move1DmgMethod="OHKO"), 0, IFERROR(_xlpm.move1Power * _xlpm.hits1 * _xlpm.typeEff1 * _xlpm.stab1 * $BZ14 * _xlpm.atkStat1 / _xlpm.defStat1, 0)),
    _xlpm.score2, IF(OR(_xlpm.move2Power="Varies", _xlpm.move2DmgMethod="Fixed", _xlpm.move2DmgMethod="OHKO"), 0, IFERROR(_xlpm.move2Power * _xlpm.hits2 * _xlpm.typeEff2 * _xlpm.stab2 * $CA14 * _xlpm.atkStat2 / _xlpm.defStat2, 0)),
    _xlpm.score3, IF(OR(_xlpm.move3Power="Varies", _xlpm.move3DmgMethod="Fixed", _xlpm.move3DmgMethod="OHKO"), 0, IFERROR(_xlpm.move3Power * _xlpm.hits3 * _xlpm.typeEff3 * _xlpm.stab3 * $CB14 * _xlpm.atkStat3 / _xlpm.defStat3, 0)),
    _xlpm.score4, IF(OR(_xlpm.move4Power="Varies", _xlpm.move4DmgMethod="Fixed", _xlpm.move4DmgMethod="OHKO"), 0, IFERROR(_xlpm.move4Power * _xlpm.hits4 * _xlpm.typeEff4 * _xlpm.stab4 * $CC14 * _xlpm.atkStat4 / _xlpm.defStat4, 0)),
    MAX(_xlpm.score1*$EN14, _xlpm.score2*$EO14, _xlpm.score3*$EP14, _xlpm.score4*$EQ14)
))</f>
        <v>217.62880434782608</v>
      </c>
    </row>
    <row r="15" spans="1:178" ht="50.1" customHeight="1" thickBot="1">
      <c r="A15" s="80" t="str">
        <f>IF('Team Data'!A7="","",'Team Data'!A7)</f>
        <v>Sylveon</v>
      </c>
      <c r="B15" s="81" t="str" cm="1">
        <f t="array" ref="B15">IFERROR(INDEX(N15:AL15,1,MATCH(FU15,CHOOSE({1,2,3,4},IF(U15="",0,U15),IF(AC15="",0,AC15),IF(AK15="",0,AK15),IF(AS15="",0,AS15)),0)*8-7),"")</f>
        <v>Moonblast</v>
      </c>
      <c r="C15" s="81" t="str" cm="1">
        <f t="array" ref="C15">IFERROR(INDEX(N15:AM15,1,MATCH(FU15,CHOOSE({1,2,3,4},IF(U15="",0,U15),IF(AC15="",0,AC15),IF(AK15="",0,AK15),IF(AS15="",0,AS15)),0)*8-6),"")</f>
        <v>Fairy</v>
      </c>
      <c r="D15" s="81" cm="1">
        <f t="array" ref="D15">IFERROR(INDEX(N15:AS15,1,MATCH(FU15,CHOOSE({1,2,3,4},IF(U15="",0,U15),IF(AC15="",0,AC15),IF(AK15="",0,AK15),IF(AS15="",0,AS15)),0)*8-3),"")</f>
        <v>1</v>
      </c>
      <c r="E15" s="82" t="str">
        <f t="shared" si="0"/>
        <v>205.00*</v>
      </c>
      <c r="F15" s="83" t="str">
        <f t="shared" si="1"/>
        <v>185.39</v>
      </c>
      <c r="G15" s="84">
        <f t="shared" si="2"/>
        <v>1.1100000000000001</v>
      </c>
      <c r="H15" s="81" t="str" cm="1">
        <f t="array" ref="H15">IF($A15="","",IF(EC15&lt;&gt;"",EC15,_xlfn.LET(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DP15,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DQ15,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DR15,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DS15,
    _xlpm.teamType1, INDEX(TeamData[Type1],MATCH(A15,TeamData[Pokemon],0)),
    _xlpm.teamType2, INDEX(TeamData[Type2],MATCH(A15,TeamData[Pokemon],0)),
    _xlpm.teamDEF, INDEX(TeamData[DEF],MATCH(A15,TeamData[Pokemon],0)),
    _xlpm.teamSPD, INDEX(TeamData[SPD],MATCH(A15,TeamData[Pokemon],0)),
    _xlpm.teamATK, INDEX(TeamData[ATK],MATCH(A15,TeamData[Pokemon],0)),
    _xlpm.oppATK, $AU15,
    _xlpm.oppDEF, $AV15,
    _xlpm.oppSPA, $AW15,
    _xlpm.oppType1, $N$2,
    _xlpm.oppType2, $O$2,
    _xlpm.intimidateMod, IF($BB15="Intimidate",0.667,1),
    _xlpm.typeEff1, IFERROR(INDEX(TypeChart[],MATCH(_xlpm.move1Type,TypeChart[AttackType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→],0),MATCH(_xlpm.teamType2,TypeChart[#Headers],0))),0),
    _xlpm.typeEff2, IFERROR(INDEX(TypeChart[],MATCH(_xlpm.move2Type,TypeChart[AttackType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→],0),MATCH(_xlpm.teamType2,TypeChart[#Headers],0))),0),
    _xlpm.typeEff3, IFERROR(INDEX(TypeChart[],MATCH(_xlpm.move3Type,TypeChart[AttackType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→],0),MATCH(_xlpm.teamType2,TypeChart[#Headers],0))),0),
    _xlpm.typeEff4, IFERROR(INDEX(TypeChart[],MATCH(_xlpm.move4Type,TypeChart[AttackType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→],0),MATCH(_xlpm.teamType2,TypeChart[#Headers],0))),0),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IF(_xlpm.move1Cat="Special", _xlpm.teamSPD, 1))),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IF(_xlpm.move2Cat="Special", _xlpm.teamSPD, 1))),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IF(_xlpm.move3Cat="Special", _xlpm.teamSPD, 1))),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IF(_xlpm.move4Cat="Special", _xlpm.teamSPD, 1))),
    _xlpm.score1, IF(OR(_xlpm.move1Power="Varies", _xlpm.move1Cat="Status", _xlpm.move1DmgMethod="Fixed", _xlpm.move1DmgMethod="OHKO"), 0, IFERROR(_xlpm.move1Power * _xlpm.hits1 * _xlpm.typeEff1 * _xlpm.stab1 * $BZ15 * _xlpm.atkStat1 / _xlpm.defStat1, 0)),
    _xlpm.score2, IF(OR(_xlpm.move2Power="Varies", _xlpm.move2Cat="Status", _xlpm.move2DmgMethod="Fixed", _xlpm.move2DmgMethod="OHKO"), 0, IFERROR(_xlpm.move2Power * _xlpm.hits2 * _xlpm.typeEff2 * _xlpm.stab2 * $CA15 * _xlpm.atkStat2 / _xlpm.defStat2, 0)),
    _xlpm.score3, IF(OR(_xlpm.move3Power="Varies", _xlpm.move3Cat="Status", _xlpm.move3DmgMethod="Fixed", _xlpm.move3DmgMethod="OHKO"), 0, IFERROR(_xlpm.move3Power * _xlpm.hits3 * _xlpm.typeEff3 * _xlpm.stab3 * $CB15 * _xlpm.atkStat3 / _xlpm.defStat3, 0)),
    _xlpm.score4, IF(OR(_xlpm.move4Power="Varies", _xlpm.move4Cat="Status", _xlpm.move4DmgMethod="Fixed", _xlpm.move4DmgMethod="OHKO"), 0, IFERROR(_xlpm.move4Power * _xlpm.hits4 * _xlpm.typeEff4 * _xlpm.stab4 * $CC15 * _xlpm.atkStat4 / _xlpm.defStat4, 0)),
    _xlpm.maxScore, MAX(_xlpm.score1*$EN15, _xlpm.score2*$EO15, _xlpm.score3*$EP15, _xlpm.score4*$EQ15),
    _xlpm.defaultMove, IF(AND(_xlpm.move1&lt;&gt;"",OR(_xlpm.move1Cat="Physical",_xlpm.move1Cat="Special")), _xlpm.move1 &amp; " (" &amp; _xlpm.move1Cat &amp; ")",
                 IF(AND(_xlpm.move2&lt;&gt;"",OR(_xlpm.move2Cat="Physical",_xlpm.move2Cat="Special")), _xlpm.move2 &amp; " (" &amp; _xlpm.move2Cat &amp; ")",
                 IF(AND(_xlpm.move3&lt;&gt;"",OR(_xlpm.move3Cat="Physical",_xlpm.move3Cat="Special")), _xlpm.move3 &amp; " (" &amp; _xlpm.move3Cat &amp; ")",
                 IF(AND(_xlpm.move4&lt;&gt;"",OR(_xlpm.move4Cat="Physical",_xlpm.move4Cat="Special")), _xlpm.move4 &amp; " (" &amp; _xlpm.move4Cat &amp; ")", "")))),
    IF(_xlpm.maxScore=0, _xlpm.defaultMove,
        IF(AND($EN15,_xlpm.score1*$EN15=_xlpm.maxScore), _xlpm.move1 &amp; " (" &amp; _xlpm.move1Cat &amp; ")",
        IF(AND($EO15,_xlpm.score2*$EO15=_xlpm.maxScore), _xlpm.move2 &amp; " (" &amp; _xlpm.move2Cat &amp; ")",
        IF(AND($EP15,_xlpm.score3*$EP15=_xlpm.maxScore), _xlpm.move3 &amp; " (" &amp; _xlpm.move3Cat &amp; ")",
        IF(AND($EQ15,_xlpm.score4*$EQ15=_xlpm.maxScore), _xlpm.move4 &amp; " (" &amp; _xlpm.move4Cat &amp; ")", "")))))
)))</f>
        <v>Liquidation (Physical)</v>
      </c>
      <c r="I15" s="81">
        <f>IF(A15="","",IF(DW15,0,INDEX(TypeChart[],MATCH(K15,TypeChart[AttackType ↓ / DefendingType →],0),MATCH(INDEX(TeamData[Type1],MATCH(A15,TeamData[Pokemon],0)),TypeChart[#Headers],0))*IF(INDEX(TeamData[Type2],MATCH(A15,TeamData[Pokemon],0))="",1,INDEX(TypeChart[],MATCH(K15,TypeChart[AttackType ↓ / DefendingType →],0),MATCH(INDEX(TeamData[Type2],MATCH(A15,TeamData[Pokemon],0)),TypeChart[#Headers],0)))))</f>
        <v>1</v>
      </c>
      <c r="J15" s="86" t="str">
        <f t="shared" si="3"/>
        <v/>
      </c>
      <c r="K15" s="30" t="str" cm="1">
        <f t="array" ref="K15">IF(A15="","",_xlfn.LET(
        _xlpm.moveName, LEFT(H15,IFERROR(FIND(" (",H15)-1,LEN(H15))),
        _xlpm.oppMove1, INDEX(Opponent[Move1],MATCH(1,(Opponent[Pokemon]=$B$4)*(Opponent[Battle]=$B$3),0)),
        _xlpm.oppMove2, INDEX(Opponent[Move2],MATCH(1,(Opponent[Pokemon]=$B$4)*(Opponent[Battle]=$B$3),0)),
        _xlpm.oppMove3, INDEX(Opponent[Move3],MATCH(1,(Opponent[Pokemon]=$B$4)*(Opponent[Battle]=$B$3),0)),
        _xlpm.oppMove4, INDEX(Opponent[Move4],MATCH(1,(Opponent[Pokemon]=$B$4)*(Opponent[Battle]=$B$3),0)),
        IF(_xlpm.moveName=_xlpm.oppMove1, INDEX(Opponent[Move1Type],MATCH(1,(Opponent[Pokemon]=$B$4)*(Opponent[Battle]=$B$3),0)),
        IF(_xlpm.moveName=_xlpm.oppMove2, INDEX(Opponent[Move2Type],MATCH(1,(Opponent[Pokemon]=$B$4)*(Opponent[Battle]=$B$3),0)),
        IF(_xlpm.moveName=_xlpm.oppMove3, INDEX(Opponent[Move3Type],MATCH(1,(Opponent[Pokemon]=$B$4)*(Opponent[Battle]=$B$3),0)),
        IF(_xlpm.moveName=_xlpm.oppMove4, INDEX(Opponent[Move4Type],MATCH(1,(Opponent[Pokemon]=$B$4)*(Opponent[Battle]=$B$3),0)),
        ""))))
    ))</f>
        <v>Water</v>
      </c>
      <c r="L15" s="30"/>
      <c r="M15" s="30"/>
      <c r="N15" s="30" t="str">
        <f>_xlfn.XLOOKUP($A15,TeamData[Pokemon],TeamData[Move1])</f>
        <v>Play Rough</v>
      </c>
      <c r="O15" s="30" t="str">
        <f>_xlfn.XLOOKUP($A15,TeamData[Pokemon],TeamData[Move1Type])</f>
        <v>Fairy</v>
      </c>
      <c r="P15" s="30">
        <f>_xlfn.XLOOKUP($A15,TeamData[Pokemon],TeamData[Move1Power])</f>
        <v>90</v>
      </c>
      <c r="Q15" s="30" t="str">
        <f>_xlfn.XLOOKUP($A15,TeamData[Pokemon],TeamData[Move1Category])</f>
        <v>Physical</v>
      </c>
      <c r="R15" s="30">
        <f>INDEX(TypeChart[],MATCH(O15,TypeChart[AttackType ↓ / DefendingType →],0),MATCH($N$2,TypeChart[#Headers],0))
*
IF(OR($O$2="",$O$2=0),1,
INDEX(TypeChart[],MATCH(O15,TypeChart[AttackType ↓ / DefendingType →],0),MATCH($O$2,TypeChart[#Headers],0)))</f>
        <v>1</v>
      </c>
      <c r="S15" s="30">
        <f>IF(OR(O15=INDEX(TeamData[Type1],MATCH(A15,TeamData[Pokemon],0)),O15=INDEX(TeamData[Type2],MATCH(A15,TeamData[Pokemon],0))),$BH15,1)</f>
        <v>1.5</v>
      </c>
      <c r="T15" s="30">
        <f>R15*S15</f>
        <v>1.5</v>
      </c>
      <c r="U15" s="30" cm="1">
        <f t="array" ref="U15">_xlfn.LET(
    _xlpm.dmgMethod, DL15,
    _xlpm.movePower, P15,
    _xlpm.moveCategory, Q15,
    _xlpm.moveType, O15,
    _xlpm.moveHits, IFERROR(VLOOKUP(N15,MoveData[],6,FALSE),1),
    _xlpm.effectiveness, R15,
    _xlpm.stabMod, S15,
    _xlpm.techMod, $BJ15,
    _xlpm.outMod, $CD15,
    _xlpm.atkMod, $BI15,
    _xlpm.teamATK, _xlfn.XLOOKUP($A15,TeamData[Pokemon],TeamData[ATK]),
    _xlpm.teamSPA, _xlfn.XLOOKUP($A15,TeamData[Pokemon],TeamData[SPA]),
    _xlpm.teamDEF, _xlfn.XLOOKUP($A15,TeamData[Pokemon],TeamData[DEF]),
    _xlpm.oppATK, $AU15,
    _xlpm.oppDEF, $AV15,
    _xlpm.oppSPD, $AX15,
    _xlpm.heldItem, _xlfn.XLOOKUP($A15,TeamData[Pokemon],TeamData[Held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114.8585049813581</v>
      </c>
      <c r="V15" s="30" t="str">
        <f>_xlfn.XLOOKUP($A15,TeamData[Pokemon],TeamData[Move2])</f>
        <v>Moonblast</v>
      </c>
      <c r="W15" s="30" t="str">
        <f>_xlfn.XLOOKUP($A15,TeamData[Pokemon],TeamData[Move2Type])</f>
        <v>Fairy</v>
      </c>
      <c r="X15" s="30">
        <f>_xlfn.XLOOKUP($A15,TeamData[Pokemon],TeamData[Move2Power])</f>
        <v>95</v>
      </c>
      <c r="Y15" s="30" t="str">
        <f>_xlfn.XLOOKUP($A15,TeamData[Pokemon],TeamData[Move2Category])</f>
        <v>Special</v>
      </c>
      <c r="Z15" s="30">
        <f>INDEX(TypeChart[],MATCH(W15,TypeChart[AttackType ↓ / DefendingType →],0),MATCH($N$2,TypeChart[#Headers],0))*IF(OR($O$2="",$O$2=0),1,INDEX(TypeChart[],MATCH(W15,TypeChart[AttackType ↓ / DefendingType →],0),MATCH($O$2,TypeChart[#Headers],0)))</f>
        <v>1</v>
      </c>
      <c r="AA15" s="30">
        <f>IF(OR(W15=INDEX(TeamData[Type1],MATCH(A15,TeamData[Pokemon],0)),W15=INDEX(TeamData[Type2],MATCH(A15,TeamData[Pokemon],0))),$BH15,1)</f>
        <v>1.5</v>
      </c>
      <c r="AB15" s="30">
        <f>Z15*AA15</f>
        <v>1.5</v>
      </c>
      <c r="AC15" s="30" cm="1">
        <f t="array" ref="AC15">_xlfn.LET(
    _xlpm.dmgMethod, DM15,
    _xlpm.movePower, X15,
    _xlpm.moveCategory, Y15,
    _xlpm.moveType, W15,
    _xlpm.moveHits, IFERROR(VLOOKUP(V15,MoveData[],6,FALSE),1),
    _xlpm.effectiveness, Z15,
    _xlpm.stabMod, AA15,
    _xlpm.techMod, $BK15,
    _xlpm.outMod, $CE15,
    _xlpm.atkMod, $BI15,
    _xlpm.teamATK, _xlfn.XLOOKUP($A15,TeamData[Pokemon],TeamData[ATK]),
    _xlpm.teamSPA, _xlfn.XLOOKUP($A15,TeamData[Pokemon],TeamData[SPA]),
    _xlpm.teamDEF, _xlfn.XLOOKUP($A15,TeamData[Pokemon],TeamData[DEF]),
    _xlpm.oppATK, $AU15,
    _xlpm.oppDEF, $AV15,
    _xlpm.oppSPD, $AX15,
    _xlpm.heldItem, _xlfn.XLOOKUP($A15,TeamData[Pokemon],TeamData[Held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204.99955598969896</v>
      </c>
      <c r="AD15" s="30" t="str">
        <f>_xlfn.XLOOKUP($A15,TeamData[Pokemon],TeamData[Move3])</f>
        <v>Draining Kiss</v>
      </c>
      <c r="AE15" s="30" t="str">
        <f>_xlfn.XLOOKUP($A15,TeamData[Pokemon],TeamData[Move3Type])</f>
        <v>Fairy</v>
      </c>
      <c r="AF15" s="30">
        <f>_xlfn.XLOOKUP($A15,TeamData[Pokemon],TeamData[Move3Power])</f>
        <v>50</v>
      </c>
      <c r="AG15" s="30" t="str">
        <f>_xlfn.XLOOKUP($A15,TeamData[Pokemon],TeamData[Move3Category])</f>
        <v>Special</v>
      </c>
      <c r="AH15" s="30">
        <f>INDEX(TypeChart[],MATCH(AE15,TypeChart[AttackType ↓ / DefendingType →],0),MATCH($N$2,TypeChart[#Headers],0))*IF(OR($O$2="",$O$2=0),1,INDEX(TypeChart[],MATCH(AE15,TypeChart[AttackType ↓ / DefendingType →],0),MATCH($O$2,TypeChart[#Headers],0)))</f>
        <v>1</v>
      </c>
      <c r="AI15" s="30">
        <f>IF(OR(AE15=INDEX(TeamData[Type1],MATCH(A15,TeamData[Pokemon],0)),AE15=INDEX(TeamData[Type2],MATCH(A15,TeamData[Pokemon],0))),$BH15,1)</f>
        <v>1.5</v>
      </c>
      <c r="AJ15" s="30">
        <f>AH15*AI15</f>
        <v>1.5</v>
      </c>
      <c r="AK15" s="30" cm="1">
        <f t="array" ref="AK15">_xlfn.LET(
    _xlpm.dmgMethod, DN15,
    _xlpm.movePower, AF15,
    _xlpm.moveCategory, AG15,
    _xlpm.moveType, AE15,
    _xlpm.moveHits, IFERROR(VLOOKUP(AD15,MoveData[],6,FALSE),1),
    _xlpm.effectiveness, AH15,
    _xlpm.stabMod, AI15,
    _xlpm.techMod, $BL15,
    _xlpm.outMod, $CF15,
    _xlpm.atkMod, $BI15,
    _xlpm.teamATK, _xlfn.XLOOKUP($A15,TeamData[Pokemon],TeamData[ATK]),
    _xlpm.teamSPA, _xlfn.XLOOKUP($A15,TeamData[Pokemon],TeamData[SPA]),
    _xlpm.teamDEF, _xlfn.XLOOKUP($A15,TeamData[Pokemon],TeamData[DEF]),
    _xlpm.oppATK, $AU15,
    _xlpm.oppDEF, $AV15,
    _xlpm.oppSPD, $AX15,
    _xlpm.heldItem, _xlfn.XLOOKUP($A15,TeamData[Pokemon],TeamData[Held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107.89450315247313</v>
      </c>
      <c r="AL15" s="30" t="str">
        <f>_xlfn.XLOOKUP($A15,TeamData[Pokemon],TeamData[Move4])</f>
        <v>Psyshock</v>
      </c>
      <c r="AM15" s="30" t="str">
        <f>_xlfn.XLOOKUP($A15,TeamData[Pokemon],TeamData[Move4Type])</f>
        <v>Psychic</v>
      </c>
      <c r="AN15" s="30">
        <f>_xlfn.XLOOKUP($A15,TeamData[Pokemon],TeamData[Move4Power])</f>
        <v>80</v>
      </c>
      <c r="AO15" s="30" t="str">
        <f>_xlfn.XLOOKUP($A15,TeamData[Pokemon],TeamData[Move4Category])</f>
        <v>Special</v>
      </c>
      <c r="AP15" s="30">
        <f>INDEX(TypeChart[],MATCH(AM15,TypeChart[AttackType ↓ / DefendingType →],0),MATCH($N$2,TypeChart[#Headers],0))*IF(OR($O$2="",$O$2=0),1,INDEX(TypeChart[],MATCH(AM15,TypeChart[AttackType ↓ / DefendingType →],0),MATCH($O$2,TypeChart[#Headers],0)))</f>
        <v>1</v>
      </c>
      <c r="AQ15" s="30">
        <f>IF(OR(AM15=INDEX(TeamData[Type1],MATCH(A15,TeamData[Pokemon],0)),AM15=INDEX(TeamData[Type2],MATCH(A15,TeamData[Pokemon],0))),$BH15,1)</f>
        <v>1</v>
      </c>
      <c r="AR15" s="30">
        <f>AP15*AQ15</f>
        <v>1</v>
      </c>
      <c r="AS15" s="30" cm="1">
        <f t="array" ref="AS15">_xlfn.LET(
    _xlpm.dmgMethod, DO15,
    _xlpm.movePower, AN15,
    _xlpm.moveCategory, AO15,
    _xlpm.moveType, AM15,
    _xlpm.moveHits, IFERROR(VLOOKUP(AL15,MoveData[],6,FALSE),1),
    _xlpm.effectiveness, AP15,
    _xlpm.stabMod, AQ15,
    _xlpm.techMod, $BM15,
    _xlpm.outMod, $CG15,
    _xlpm.atkMod, $BI15,
    _xlpm.teamATK, _xlfn.XLOOKUP($A15,TeamData[Pokemon],TeamData[ATK]),
    _xlpm.teamSPA, _xlfn.XLOOKUP($A15,TeamData[Pokemon],TeamData[SPA]),
    _xlpm.teamDEF, _xlfn.XLOOKUP($A15,TeamData[Pokemon],TeamData[DEF]),
    _xlpm.oppATK, $AU15,
    _xlpm.oppDEF, $AV15,
    _xlpm.oppSPD, $AX15,
    _xlpm.heldItem, _xlfn.XLOOKUP($A15,TeamData[Pokemon],TeamData[Held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_xlpm.itemMultiplier, _xlfn.XLOOKUP(_xlpm.heldItem,Items[Item],Items[Multiplier],1),
    _xlpm.itemMod, IF(_xlpm.itemEffectType&lt;&gt;"DamageMultiplier", 1,
        IF(AND(_xlpm.itemMoveType&lt;&gt;"None", _xlpm.itemMoveType=_xlpm.moveType), _xlpm.itemMultiplier,
        IF(AND(_xlpm.itemMoveCategory&lt;&gt;"None", _xlpm.itemMoveCategory=_xlpm.moveCategory), _xlpm.itemMultiplier,
        IF(AND(_xlpm.itemCondition="SuperEffective", _xlpm.effectiveness&gt;1), _xlpm.itemMultiplier,
        1)))),
    _xlpm.attackingStat, _xlfn.SWITCH(_xlpm.dmgMethod,
        "UseDEF", _xlpm.teamDEF,
        "TargetATK", _xlpm.oppATK,
        IF(_xlpm.moveCategory="Physical", _xlpm.teamATK*_xlpm.atkMod, _xlpm.teamSPA)
    ),
    _xlpm.defendingStat, _xlfn.SWITCH(_xlpm.dmgMethod,
        "TargetDEFasSPD", _xlpm.oppDEF,
        IF(_xlpm.moveCategory="Physical", _xlpm.oppDEF, _xlpm.oppSPD)
    ),
    IF(OR(_xlpm.movePower="Varies", _xlpm.dmgMethod="Fixed", _xlpm.dmgMethod="OHKO"), "",
        IFERROR(_xlpm.movePower * _xlpm.moveHits * _xlpm.effectiveness * _xlpm.stabMod * _xlpm.techMod * _xlpm.outMod * _xlpm.itemMod * _xlpm.attackingStat / _xlpm.defendingStat, "")
    )
)</f>
        <v>66.010635046757528</v>
      </c>
      <c r="AT15" s="30" cm="1">
        <f t="array" ref="AT15">IFERROR(INDEX(Opponent[Level],MATCH(1,(Opponent[Trainer]=$B$2)*(Opponent[Battle]=$B$3)*(Opponent[Pokemon]=$B$4),0)),0)</f>
        <v>51</v>
      </c>
      <c r="AU15" s="30" cm="1">
        <f t="array" ref="AU15">IFERROR(((2*INDEX(Opponent[ATK],MATCH(1,(Opponent[Trainer]=$B$2)*(Opponent[Battle]=$B$3)*(Opponent[Pokemon]=$B$4),0))+31)*$AT15/100)+5,0)</f>
        <v>148.31</v>
      </c>
      <c r="AV15" s="30" cm="1">
        <f t="array" ref="AV15">IFERROR(((2*INDEX(Opponent[DEF],MATCH(1,(Opponent[Trainer]=$B$2)*(Opponent[Battle]=$B$3)*(Opponent[Pokemon]=$B$4),0))+31)*$AT15/100)+5,0)</f>
        <v>163.61000000000001</v>
      </c>
      <c r="AW15" s="30" cm="1">
        <f t="array" ref="AW15">IFERROR(((2*INDEX(Opponent[SPA],MATCH(1,(Opponent[Trainer]=$B$2)*(Opponent[Battle]=$B$3)*(Opponent[Pokemon]=$B$4),0))+31)*$AT15/100)+5,0)</f>
        <v>82.01</v>
      </c>
      <c r="AX15" s="30" cm="1">
        <f t="array" ref="AX15">IFERROR(((2*INDEX(Opponent[SPD],MATCH(1,(Opponent[Trainer]=$B$2)*(Opponent[Battle]=$B$3)*(Opponent[Pokemon]=$B$4),0))+31)*$AT15/100)+5,0)</f>
        <v>112.61</v>
      </c>
      <c r="AY15" s="30" cm="1">
        <f t="array" ref="AY15">IFERROR(((2*INDEX(Opponent[SPE],MATCH(1,(Opponent[Trainer]=$B$2)*(Opponent[Battle]=$B$3)*(Opponent[Pokemon]=$B$4),0))+31)*$AT15/100)+5,0)</f>
        <v>61.61</v>
      </c>
      <c r="AZ15" s="30" cm="1">
        <f t="array" ref="AZ15">IFERROR(((2*INDEX(Opponent[HP],MATCH(1,(Opponent[Trainer]=$B$2)*(Opponent[Battle]=$B$3)*(Opponent[Pokemon]=$B$4),0))+31)*Table8[[#This Row],[OpponentLevel]]/100)+Table8[[#This Row],[OpponentLevel]]+10,0)</f>
        <v>153.31</v>
      </c>
      <c r="BA15" s="30">
        <f>IF(OR(Table8[[#This Row],[ApproxHP]]="",Table8[[#This Row],[ApproxHP]]=0),"",IFERROR(Table8[[#This Row],[BestMoveScoreNumeric]]/Table8[[#This Row],[ApproxHP]],""))</f>
        <v>1.337157106449018</v>
      </c>
      <c r="BB15" s="30">
        <f>IFERROR(VLOOKUP(A15,TeamData[],30,FALSE),"")</f>
        <v>100</v>
      </c>
      <c r="BC15" s="30" t="str" cm="1">
        <f t="array" ref="BC15">IFERROR(INDEX(Opponent[Ability],MATCH(1,(Opponent[Pokemon]=$B$4)*(Opponent[Battle]=$B$3)*(Opponent[Trainer]=$B$2),0)),"")</f>
        <v>Emergency Exit</v>
      </c>
      <c r="BD15" s="30" cm="1">
        <f t="array" ref="BD15">IF(A15="",1,IF($BB15="",1,IF(SUMPRODUCT((AbilityRules[Ability]=$BB15)*(AbilityRules[Effect]="Immunity")*(AbilityRules[TargetType]=IFERROR(INDEX(Opponent[Move1Type],MATCH(1,(Opponent[Pokemon]=$B$4)*(Opponent[Battle]=$B$3)*(Opponent[Trainer]=$B$2),0)),"")))&gt;0,0,IF(SUMPRODUCT((AbilityRules[Ability]=$BB15)*(AbilityRules[Effect]="Reduction")*(AbilityRules[TargetType]=IFERROR(INDEX(Opponent[Move1Type],MATCH(1,(Opponent[Pokemon]=$B$4)*(Opponent[Battle]=$B$3)*(Opponent[Trainer]=$B$2),0)),"")))&gt;0,0.5,1))))</f>
        <v>1</v>
      </c>
      <c r="BE15" s="30" cm="1">
        <f t="array" ref="BE15">IF(A15="",1,IF($BB15="",1,IF(SUMPRODUCT((AbilityRules[Ability]=$BB15)*(AbilityRules[Effect]="Immunity")*(AbilityRules[TargetType]=IFERROR(INDEX(Opponent[Move2Type],MATCH(1,(Opponent[Pokemon]=$B$4)*(Opponent[Battle]=$B$3)*(Opponent[Trainer]=$B$2),0)),"")))&gt;0,0,IF(SUMPRODUCT((AbilityRules[Ability]=$BB15)*(AbilityRules[Effect]="Reduction")*(AbilityRules[TargetType]=IFERROR(INDEX(Opponent[Move2Type],MATCH(1,(Opponent[Pokemon]=$B$4)*(Opponent[Battle]=$B$3)*(Opponent[Trainer]=$B$2),0)),"")))&gt;0,0.5,1))))</f>
        <v>1</v>
      </c>
      <c r="BF15" s="30" cm="1">
        <f t="array" ref="BF15">IF(A15="",1,IF($BB15="",1,IF(SUMPRODUCT((AbilityRules[Ability]=$BB15)*(AbilityRules[Effect]="Immunity")*(AbilityRules[TargetType]=IFERROR(INDEX(Opponent[Move3Type],MATCH(1,(Opponent[Pokemon]=$B$4)*(Opponent[Battle]=$B$3)*(Opponent[Trainer]=$B$2),0)),"")))&gt;0,0,IF(SUMPRODUCT((AbilityRules[Ability]=$BB15)*(AbilityRules[Effect]="Reduction")*(AbilityRules[TargetType]=IFERROR(INDEX(Opponent[Move3Type],MATCH(1,(Opponent[Pokemon]=$B$4)*(Opponent[Battle]=$B$3)*(Opponent[Trainer]=$B$2),0)),"")))&gt;0,0.5,1))))</f>
        <v>1</v>
      </c>
      <c r="BG15" s="30" cm="1">
        <f t="array" ref="BG15">IF(A15="",1,IF($BB15="",1,IF(SUMPRODUCT((AbilityRules[Ability]=$BB15)*(AbilityRules[Effect]="Immunity")*(AbilityRules[TargetType]=IFERROR(INDEX(Opponent[Move4Type],MATCH(1,(Opponent[Pokemon]=$B$4)*(Opponent[Battle]=$B$3)*(Opponent[Trainer]=$B$2),0)),"")))&gt;0,0,IF(SUMPRODUCT((AbilityRules[Ability]=$BB15)*(AbilityRules[Effect]="Reduction")*(AbilityRules[TargetType]=IFERROR(INDEX(Opponent[Move4Type],MATCH(1,(Opponent[Pokemon]=$B$4)*(Opponent[Battle]=$B$3)*(Opponent[Trainer]=$B$2),0)),"")))&gt;0,0.5,1))))</f>
        <v>1</v>
      </c>
      <c r="BH15" s="30">
        <f t="shared" si="8"/>
        <v>1.5</v>
      </c>
      <c r="BI15" s="30">
        <f t="shared" si="9"/>
        <v>1</v>
      </c>
      <c r="BJ15" s="30">
        <f>IF(A15="",1,IF(AND($BB15="Technician",IFERROR(INDEX(TeamData[Move1Power],MATCH(A15,TeamData[Pokemon],0)),0)&lt;=60,IFERROR(INDEX(TeamData[Move1Power],MATCH(A15,TeamData[Pokemon],0)),0)&gt;0),1.5,1))</f>
        <v>1</v>
      </c>
      <c r="BK15" s="30">
        <f>IF(A15="",1,IF(AND($BB15="Technician",IFERROR(INDEX(TeamData[Move2Power],MATCH(A15,TeamData[Pokemon],0)),0)&lt;=60,IFERROR(INDEX(TeamData[Move2Power],MATCH(A15,TeamData[Pokemon],0)),0)&gt;0),1.5,1))</f>
        <v>1</v>
      </c>
      <c r="BL15" s="30">
        <f>IF(A15="",1,IF(AND($BB15="Technician",IFERROR(INDEX(TeamData[Move3Power],MATCH(A15,TeamData[Pokemon],0)),0)&lt;=60,IFERROR(INDEX(TeamData[Move3Power],MATCH(A15,TeamData[Pokemon],0)),0)&gt;0),1.5,1))</f>
        <v>1</v>
      </c>
      <c r="BM15" s="30">
        <f>IF(A15="",1,IF(AND($BB15="Technician",IFERROR(INDEX(TeamData[Move4Power],MATCH(A15,TeamData[Pokemon],0)),0)&lt;=60,IFERROR(INDEX(TeamData[Move4Power],MATCH(A15,TeamData[Pokemon],0)),0)&gt;0),1.5,1))</f>
        <v>1</v>
      </c>
      <c r="BN15" s="30" t="str" cm="1">
        <f t="array" ref="BN15">IFERROR(INDEX(Opponent[Move1Type],MATCH(1,(Opponent[Pokemon]=$B$4)*(Opponent[Battle]=$B$3)*(Opponent[Trainer]=$B$2),0)),"")</f>
        <v>Bug</v>
      </c>
      <c r="BO15" s="30" t="str" cm="1">
        <f t="array" ref="BO15">IFERROR(INDEX(Opponent[Move2Type],MATCH(1,(Opponent[Pokemon]=$B$4)*(Opponent[Battle]=$B$3)*(Opponent[Trainer]=$B$2),0)),"")</f>
        <v>Water</v>
      </c>
      <c r="BP15" s="30" t="str" cm="1">
        <f t="array" ref="BP15">IFERROR(INDEX(Opponent[Move3Type],MATCH(1,(Opponent[Pokemon]=$B$4)*(Opponent[Battle]=$B$3)*(Opponent[Trainer]=$B$2),0)),"")</f>
        <v>Normal</v>
      </c>
      <c r="BQ15" s="30" t="str" cm="1">
        <f t="array" ref="BQ15">IFERROR(INDEX(Opponent[Move4Type],MATCH(1,(Opponent[Pokemon]=$B$4)*(Opponent[Battle]=$B$3)*(Opponent[Trainer]=$B$2),0)),"")</f>
        <v>Ghost</v>
      </c>
      <c r="BR15" s="30">
        <f>IF(OR(A15="",BN15=""),0,IFERROR(VLOOKUP(BN15,TypeChart[],MATCH(VLOOKUP(A15,TeamData[],2,FALSE),TypeChart[#Headers],0),FALSE)*IF(VLOOKUP(A15,TeamData[],3,FALSE)="",1,VLOOKUP(BN15,TypeChart[],MATCH(VLOOKUP(A15,TeamData[],3,FALSE),TypeChart[#Headers],0),FALSE)),0))</f>
        <v>0.5</v>
      </c>
      <c r="BS15" s="30">
        <f>IF(OR(A15="",BO15=""),0,IFERROR(VLOOKUP(BO15,TypeChart[],MATCH(VLOOKUP(A15,TeamData[],2,FALSE),TypeChart[#Headers],0),FALSE)*IF(VLOOKUP(A15,TeamData[],3,FALSE)="",1,VLOOKUP(BO15,TypeChart[],MATCH(VLOOKUP(A15,TeamData[],3,FALSE),TypeChart[#Headers],0),FALSE)),0))</f>
        <v>1</v>
      </c>
      <c r="BT15" s="30">
        <f>IF(OR(A15="",BP15=""),0,IFERROR(VLOOKUP(BP15,TypeChart[],MATCH(VLOOKUP(A15,TeamData[],2,FALSE),TypeChart[#Headers],0),FALSE)*IF(VLOOKUP(A15,TeamData[],3,FALSE)="",1,VLOOKUP(BP15,TypeChart[],MATCH(VLOOKUP(A15,TeamData[],3,FALSE),TypeChart[#Headers],0),FALSE)),0))</f>
        <v>1</v>
      </c>
      <c r="BU15" s="30">
        <f>IF(OR(A15="",BQ15=""),0,IFERROR(VLOOKUP(BQ15,TypeChart[],MATCH(VLOOKUP(A15,TeamData[],2,FALSE),TypeChart[#Headers],0),FALSE)*IF(VLOOKUP(A15,TeamData[],3,FALSE)="",1,VLOOKUP(BQ15,TypeChart[],MATCH(VLOOKUP(A15,TeamData[],3,FALSE),TypeChart[#Headers],0),FALSE)),0))</f>
        <v>1</v>
      </c>
      <c r="BV15" s="30">
        <f t="shared" si="45"/>
        <v>0</v>
      </c>
      <c r="BW15" s="30">
        <f t="shared" si="45"/>
        <v>0</v>
      </c>
      <c r="BX15" s="30">
        <f t="shared" si="45"/>
        <v>0</v>
      </c>
      <c r="BY15" s="30">
        <f t="shared" si="45"/>
        <v>0</v>
      </c>
      <c r="BZ15" s="30">
        <f>BD15*IF(AND(BV15=1,OR(BB15="Filter",BB15="Solid Rock",BB15="Prism Armor")),0.75,1)</f>
        <v>1</v>
      </c>
      <c r="CA15" s="30">
        <f>BE15*IF(AND(BW15=1,OR(BB15="Filter",BB15="Solid Rock",BB15="Prism Armor")),0.75,1)</f>
        <v>1</v>
      </c>
      <c r="CB15" s="30">
        <f>BF15*IF(AND(BX15=1,OR(BB15="Filter",BB15="Solid Rock",BB15="Prism Armor")),0.75,1)</f>
        <v>1</v>
      </c>
      <c r="CC15" s="30">
        <f>BG15*IF(AND(BY15=1,OR(BB15="Filter",BB15="Solid Rock",BB15="Prism Armor")),0.75,1)</f>
        <v>1</v>
      </c>
      <c r="CD15" s="30">
        <f t="shared" si="18"/>
        <v>1</v>
      </c>
      <c r="CE15" s="30">
        <f t="shared" si="19"/>
        <v>1</v>
      </c>
      <c r="CF15" s="30">
        <f t="shared" si="20"/>
        <v>1</v>
      </c>
      <c r="CG15" s="30">
        <f t="shared" si="21"/>
        <v>1</v>
      </c>
      <c r="CH15" s="30">
        <f t="shared" si="22"/>
        <v>0</v>
      </c>
      <c r="CI15" s="30">
        <f t="shared" si="23"/>
        <v>0</v>
      </c>
      <c r="CJ15" s="30">
        <f t="shared" si="24"/>
        <v>0</v>
      </c>
      <c r="CK15" s="30" t="e">
        <f>IF(A15="",0,IF(E15&gt;AVERAGEIF($A$10:$A$15,"&lt;&gt;",$E$10:$E$15)*1.5,1,0))</f>
        <v>#DIV/0!</v>
      </c>
      <c r="CL15" s="30">
        <f t="shared" si="25"/>
        <v>6</v>
      </c>
      <c r="CM15">
        <f t="shared" si="26"/>
        <v>0.63380281690140849</v>
      </c>
      <c r="CN15" s="30" cm="1">
        <f t="array" ref="CN15">IF(OR(A15="", FV15="", FV15=0), "", SMALL(IF($A$10:$A$15&lt;&gt;"", $FV$10:$FV$15), 2) / FV15)</f>
        <v>1</v>
      </c>
      <c r="CO15" s="30">
        <f>IF(OR(A15="",C15=""),0,IF(OR(IFERROR(VLOOKUP(C15,TypeChart[],MATCH($N$2,TypeChart[#Headers],0),FALSE),1)&gt;1,IF($O$2="",FALSE,IFERROR(VLOOKUP(C15,TypeChart[],MATCH($O$2,TypeChart[#Headers],0),FALSE),1)&gt;1)),1,0))</f>
        <v>0</v>
      </c>
      <c r="CP15" s="30">
        <f>IF(A15="","",IF(AND(CO15=1,OR(C15=INDEX(TeamData[Type1],MATCH(A15,TeamData[Pokemon],0)),C15=INDEX(TeamData[Type2],MATCH(A15,TeamData[Pokemon],0)))),1,0))</f>
        <v>0</v>
      </c>
      <c r="CQ15" s="43">
        <f t="shared" si="27"/>
        <v>0</v>
      </c>
      <c r="CR15">
        <f t="shared" si="28"/>
        <v>0</v>
      </c>
      <c r="CS15" t="str">
        <f t="shared" si="29"/>
        <v/>
      </c>
      <c r="CT15" s="30" t="str">
        <f t="shared" si="30"/>
        <v/>
      </c>
      <c r="CU15" s="30" cm="1">
        <f t="array" ref="CU15">IF(A15="","",
        IF(OR(
            AND(OR(BR15=0,BD15=0),IFERROR(INDEX(Opponent[Move1Power],MATCH(1,(Opponent[Pokemon]=$B$4)*(Opponent[Battle]=$B$3)*(Opponent[Trainer]=$B$2),0))*1,0)&gt;=CX15,IFERROR(INDEX(Opponent[Move1Power],MATCH(1,(Opponent[Pokemon]=$B$4)*(Opponent[Battle]=$B$3)*(Opponent[Trainer]=$B$2),0))*1,0)&gt;0),
            AND(OR(BS15=0,BE15=0),IFERROR(INDEX(Opponent[Move2Power],MATCH(1,(Opponent[Pokemon]=$B$4)*(Opponent[Battle]=$B$3)*(Opponent[Trainer]=$B$2),0))*1,0)&gt;=CX15,IFERROR(INDEX(Opponent[Move2Power],MATCH(1,(Opponent[Pokemon]=$B$4)*(Opponent[Battle]=$B$3)*(Opponent[Trainer]=$B$2),0))*1,0)&gt;0),
            AND(OR(BT15=0,BF15=0),IFERROR(INDEX(Opponent[Move3Power],MATCH(1,(Opponent[Pokemon]=$B$4)*(Opponent[Battle]=$B$3)*(Opponent[Trainer]=$B$2),0))*1,0)&gt;=CX15,IFERROR(INDEX(Opponent[Move3Power],MATCH(1,(Opponent[Pokemon]=$B$4)*(Opponent[Battle]=$B$3)*(Opponent[Trainer]=$B$2),0))*1,0)&gt;0),
            AND(OR(BU15=0,BG15=0),IFERROR(INDEX(Opponent[Move4Power],MATCH(1,(Opponent[Pokemon]=$B$4)*(Opponent[Battle]=$B$3)*(Opponent[Trainer]=$B$2),0))*1,0)&gt;=CX15,IFERROR(INDEX(Opponent[Move4Power],MATCH(1,(Opponent[Pokemon]=$B$4)*(Opponent[Battle]=$B$3)*(Opponent[Trainer]=$B$2),0))*1,0)&gt;0)
        ),1,0))</f>
        <v>0</v>
      </c>
      <c r="CV15" s="30" t="str" cm="1">
        <f t="array" ref="CV15">IF(CU15=0,"",
        IF(AND(OR(BR15=0,BD15=0),IFERROR(INDEX(Opponent[Move1Power],MATCH(1,(Opponent[Pokemon]=$B$4)*(Opponent[Battle]=$B$3)*(Opponent[Trainer]=$B$2),0))*1,0)&gt;0),BN15,
        IF(AND(OR(BS15=0,BE15=0),IFERROR(INDEX(Opponent[Move2Power],MATCH(1,(Opponent[Pokemon]=$B$4)*(Opponent[Battle]=$B$3)*(Opponent[Trainer]=$B$2),0))*1,0)&gt;0),BO15,
        IF(AND(OR(BT15=0,BF15=0),IFERROR(INDEX(Opponent[Move3Power],MATCH(1,(Opponent[Pokemon]=$B$4)*(Opponent[Battle]=$B$3)*(Opponent[Trainer]=$B$2),0))*1,0)&gt;0),BP15,
        IF(AND(OR(BU15=0,BG15=0),IFERROR(INDEX(Opponent[Move4Power],MATCH(1,(Opponent[Pokemon]=$B$4)*(Opponent[Battle]=$B$3)*(Opponent[Trainer]=$B$2),0))*1,0)&gt;0),BQ15,"")))))</f>
        <v/>
      </c>
      <c r="CW15" s="30" t="e">
        <f t="shared" si="31"/>
        <v>#N/A</v>
      </c>
      <c r="CX15" s="30">
        <f>IF(A15="","",
            VALUE(IFERROR(VLOOKUP(LEFT(H15,FIND(" (",H15)-1),MoveData[],2,FALSE),0)))</f>
        <v>85</v>
      </c>
      <c r="CY15" s="30" cm="1">
        <f t="array" ref="CY15">INDEX(Opponent[Move3Power],MATCH(1,(Opponent[Pokemon]=$B$4)*(Opponent[Battle]=$B$3)*(Opponent[Trainer]=$B$2),0))</f>
        <v>0</v>
      </c>
      <c r="CZ15" s="30" t="b" cm="1">
        <f t="array" ref="CZ15">AND(BT15=0,IFERROR(INDEX(Opponent[Move3Power],MATCH(1,(Opponent[Pokemon]=$B$4)*(Opponent[Battle]=$B$3)*(Opponent[Trainer]=$B$2),0)),0)&gt;=CX15,IFERROR(INDEX(Opponent[Move3Power],MATCH(1,(Opponent[Pokemon]=$B$4)*(Opponent[Battle]=$B$3)*(Opponent[Trainer]=$B$2),0)),0)&gt;0)</f>
        <v>0</v>
      </c>
      <c r="DA15" s="30" t="b">
        <f t="shared" si="32"/>
        <v>0</v>
      </c>
      <c r="DB15" s="30" t="b">
        <f t="shared" si="33"/>
        <v>1</v>
      </c>
      <c r="DC15" s="43" t="b">
        <f>INDEX(TeamData[SPE],MATCH(Calculator[[#This Row],[Team Member]],TeamData[Pokemon],0))&lt;Table8[[#This Row],[ApproxSPE]]</f>
        <v>0</v>
      </c>
      <c r="DD15" s="43">
        <f>_xlfn.LET(
        _xlpm.teamHP, INDEX(TeamData[HP], MATCH(Calculator[[#This Row],[Team Member]], TeamData[Pokemon], 0)),
        _xlpm.incomingScore, Table8[[#This Row],[IncomingWorstScoreNumeric]],
        IF(OR(_xlpm.teamHP="", _xlpm.teamHP=0), "", IFERROR(_xlpm.incomingScore/_xlpm.teamHP, ""))
    )</f>
        <v>0.93630050505050511</v>
      </c>
      <c r="DE15" s="43" t="b">
        <f>_xlfn.LET(
        _xlpm.teamSPE, INDEX(TeamData[SPE], MATCH(Calculator[[#This Row],[Team Member]], TeamData[Pokemon], 0)),
        _xlpm.opponentSPE, Table8[[#This Row],[ApproxSPE]],
        _xlpm.teamSPE &lt; _xlpm.opponentSPE
    )</f>
        <v>0</v>
      </c>
      <c r="DF15" s="43" t="b" cm="1">
        <f t="array" ref="DF15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_xlpm.isDmax, OR(_xlpm.hasGMax, _xlpm.hasMax),
        _xlpm.offensiveThreshold, IF(_xlpm.isDmax, 2, 1),
        _xlpm.meetsOffensiveOHKO, Table8[[#This Row],[BestMoveHPRatio]]&gt;=_xlpm.offensiveThreshold,
        AND(Table8[[#This Row],[TeamMovesSecond]], _xlpm.meetsOffensiveOHKO, Table8[[#This Row],[LikelySurvivesFirstHit]])
    )</f>
        <v>0</v>
      </c>
      <c r="DG15" s="43" t="str" cm="1">
        <f t="array" ref="DG15">_xlfn.LET(
        _xlpm.trainer, $B$2,
        _xlpm.battle, $B$3,
        _xlpm.pokemon, $B$4,
        _xlpm.matchRow, MATCH(1, (Opponent[Trainer]=_xlpm.trainer)*(Opponent[Battle]=_xlpm.battle)*(Opponent[Pokemon]=_xlpm.pokemon), 0),
        _xlpm.move1, INDEX(Opponent[Move1], _xlpm.matchRow),
        _xlpm.move2, INDEX(Opponent[Move2], _xlpm.matchRow),
        _xlpm.move3, INDEX(Opponent[Move3], _xlpm.matchRow),
        _xlpm.move4, INDEX(Opponent[Move4], _xlpm.matchRow),
        _xlpm.hasGMax, OR(LEFT(_xlpm.move1,5)="G-Max", LEFT(_xlpm.move2,5)="G-Max", LEFT(_xlpm.move3,5)="G-Max", LEFT(_xlpm.move4,5)="G-Max"),
        _xlpm.hasMax, OR(LEFT(_xlpm.move1,4)="Max ", LEFT(_xlpm.move2,4)="Max ", LEFT(_xlpm.move3,4)="Max ", LEFT(_xlpm.move4,4)="Max "),
        IF(_xlpm.hasGMax, "G-Max", IF(_xlpm.hasMax, "Dmax", ""))
    )</f>
        <v/>
      </c>
      <c r="DH15" s="43" t="str">
        <f>IF(Calculator[[#This Row],[Team Member]]="","",_xlfn.LET(
        _xlpm.opponentSPE, Table8[[#This Row],[ApproxSPE]],
        _xlpm.teamSPE, INDEX(TeamData[SPE], MATCH(Calculator[[#This Row],[Team Member]], TeamData[Pokemon], 0)),
        _xlpm.isFaster, _xlpm.teamSPE&gt;_xlpm.opponentSPE,
        _xlpm.hpRatio, Table8[[#This Row],[BestMoveHPRatio]],
        _xlpm.teamMovesSecond, Table8[[#This Row],[TeamMovesSecond]],
        _xlpm.likelySurvives, Table8[[#This Row],[LikelySurvivesFirstHit]],
        _xlpm.incomingScore, Table8[[#This Row],[IncomingWorstScoreNumeric]],
        _xlpm.hasIncomingDamage, _xlpm.incomingScore&gt;0,
        _xlpm.isDmax, Table8[[#This Row],[DmaxNote]]&lt;&gt;"",
        _xlpm.likelyThreshold, IF(_xlpm.isDmax, 6.5, 3),
        _xlpm.possibleThreshold, IF(_xlpm.isDmax, 4.5, 2),
        _xlpm.meetsLikelyOHKO, _xlpm.hpRatio&gt;=_xlpm.likelyThreshold,
        _xlpm.meetsPossibleOHKO, _xlpm.hpRatio&gt;=_xlpm.possibleThreshold,
        IF(AND(_xlpm.teamMovesSecond, _xlpm.hasIncomingDamage, _xlpm.likelySurvives, _xlpm.meetsLikelyOHKO), "Likely Survival OHKO",
        IF(AND(_xlpm.teamMovesSecond, _xlpm.hasIncomingDamage, _xlpm.likelySurvives, _xlpm.meetsPossibleOHKO), "Possible Survival OHKO",
        IF(OR(_xlpm.isFaster, NOT(_xlpm.hasIncomingDamage)),
            IF(_xlpm.meetsLikelyOHKO, "Likely OHKO",
            IF(_xlpm.meetsPossibleOHKO, "Possible OHKO", "")),
            ""
        )))
    ))</f>
        <v/>
      </c>
      <c r="DI15" s="43" t="str">
        <f>""</f>
        <v/>
      </c>
      <c r="DJ15" s="43" t="str">
        <f>""</f>
        <v/>
      </c>
      <c r="DK15" s="43"/>
      <c r="DL15" s="43" t="str">
        <f>IFERROR(VLOOKUP(N15,MoveData[],9,FALSE),"")</f>
        <v>Standard</v>
      </c>
      <c r="DM15" s="43" t="str">
        <f>IFERROR(VLOOKUP(V15,MoveData[],9,FALSE),"")</f>
        <v>Standard</v>
      </c>
      <c r="DN15" s="43" t="str">
        <f>IFERROR(VLOOKUP(AD15,MoveData[],9,FALSE),"")</f>
        <v>Standard</v>
      </c>
      <c r="DO15" s="43" t="str">
        <f>IFERROR(VLOOKUP(AL15,MoveData[],9,FALSE),"")</f>
        <v>TargetDEFasSPD</v>
      </c>
      <c r="DP15" s="43" t="str" cm="1">
        <f t="array" ref="DP15">IFERROR(VLOOKUP(INDEX(Opponent[Move1],MATCH(1,(Opponent[Pokemon]=$B$4)*(Opponent[Battle]=$B$3),0)),MoveData[],9,FALSE),"")</f>
        <v>Standard</v>
      </c>
      <c r="DQ15" s="43" t="str" cm="1">
        <f t="array" ref="DQ15">IFERROR(VLOOKUP(INDEX(Opponent[Move2],MATCH(1,(Opponent[Pokemon]=$B$4)*(Opponent[Battle]=$B$3),0)),MoveData[],9,FALSE),"")</f>
        <v>Standard</v>
      </c>
      <c r="DR15" s="43" cm="1">
        <f t="array" ref="DR15">IFERROR(VLOOKUP(INDEX(Opponent[Move3],MATCH(1,(Opponent[Pokemon]=$B$4)*(Opponent[Battle]=$B$3),0)),MoveData[],9,FALSE),"")</f>
        <v>0</v>
      </c>
      <c r="DS15" s="43" t="str" cm="1">
        <f t="array" ref="DS15">IFERROR(VLOOKUP(INDEX(Opponent[Move4],MATCH(1,(Opponent[Pokemon]=$B$4)*(Opponent[Battle]=$B$3),0)),MoveData[],9,FALSE),"")</f>
        <v>Standard</v>
      </c>
      <c r="DT15" s="43">
        <f>IFERROR(VLOOKUP(Calculator[[#This Row],[Best Move]],MoveData[],8,FALSE),0)</f>
        <v>0</v>
      </c>
      <c r="DU15" s="43">
        <f>IF(H15="",0,IFERROR(VLOOKUP(LEFT(H15,FIND(" (",H15)-1),MoveData[],8,FALSE),0))</f>
        <v>0</v>
      </c>
      <c r="DV15" s="43" t="str">
        <f t="shared" si="34"/>
        <v/>
      </c>
      <c r="DW15" s="43" t="b">
        <f t="shared" si="35"/>
        <v>0</v>
      </c>
      <c r="DX15" s="43" cm="1">
        <f t="array" ref="DX15">IFERROR(VALUE(_xlfn.XLOOKUP($B$4&amp;$B$3,Opponent[Pokemon]&amp;Opponent[Battle],Opponent[Move1Power])),0)</f>
        <v>90</v>
      </c>
      <c r="DY15" s="43" cm="1">
        <f t="array" ref="DY15">IFERROR(VALUE(_xlfn.XLOOKUP($B$4&amp;$B$3,Opponent[Pokemon]&amp;Opponent[Battle],Opponent[Move2Power])),0)</f>
        <v>85</v>
      </c>
      <c r="DZ15" s="43" cm="1">
        <f t="array" ref="DZ15">IFERROR(VALUE(_xlfn.XLOOKUP($B$4&amp;$B$3,Opponent[Pokemon]&amp;Opponent[Battle],Opponent[Move3Power])),0)</f>
        <v>0</v>
      </c>
      <c r="EA15" s="43" cm="1">
        <f t="array" ref="EA15">IFERROR(VALUE(_xlfn.XLOOKUP($B$4&amp;$B$3,Opponent[Pokemon]&amp;Opponent[Battle],Opponent[Move4Power])),0)</f>
        <v>70</v>
      </c>
      <c r="EB15" s="43">
        <f t="shared" si="47"/>
        <v>1</v>
      </c>
      <c r="EC15" s="43" t="str" cm="1">
        <f t="array" ref="EC15">IF(NOT(DW15),"",_xlfn.XLOOKUP($B$4&amp;$B$3,Opponent[Pokemon]&amp;Opponent[Battle],CHOOSE(EB15,Opponent[Move1],Opponent[Move2],Opponent[Move3],Opponent[Move4]))&amp;" ("&amp;_xlfn.XLOOKUP($B$4&amp;$B$3,Opponent[Pokemon]&amp;Opponent[Battle],CHOOSE(EB15,Opponent[Move1Category],Opponent[Move2Category],Opponent[Move3Category],Opponent[Move4Category]))&amp;")")</f>
        <v/>
      </c>
      <c r="ED15" s="43" t="str">
        <f t="shared" si="37"/>
        <v>Liquidation (Physical)</v>
      </c>
      <c r="EE15" s="43" t="str">
        <f t="shared" si="38"/>
        <v/>
      </c>
      <c r="EF15" s="43" t="str" cm="1">
        <f t="array" ref="EF15">IFERROR(_xlfn.XLOOKUP($B$4&amp;$B$3,Opponent[Pokemon]&amp;Opponent[Battle],Opponent[Move1]),"")</f>
        <v>First Impression</v>
      </c>
      <c r="EG15" s="43" t="str" cm="1">
        <f t="array" ref="EG15">IFERROR(_xlfn.XLOOKUP($B$4&amp;$B$3,Opponent[Pokemon]&amp;Opponent[Battle],Opponent[Move2]),"")</f>
        <v>Liquidation</v>
      </c>
      <c r="EH15" s="43" t="str" cm="1">
        <f t="array" ref="EH15">IFERROR(_xlfn.XLOOKUP($B$4&amp;$B$3,Opponent[Pokemon]&amp;Opponent[Battle],Opponent[Move3]),"")</f>
        <v>Swords Dance</v>
      </c>
      <c r="EI15" s="43" t="str" cm="1">
        <f t="array" ref="EI15">IFERROR(_xlfn.XLOOKUP($B$4&amp;$B$3,Opponent[Pokemon]&amp;Opponent[Battle],Opponent[Move4]),"")</f>
        <v>Shadow Claw</v>
      </c>
      <c r="EJ15" s="43" t="str">
        <f>IFERROR(_xlfn.XLOOKUP(EF15,MoveData[Move],MoveData[ActivationCondition]),"Always")</f>
        <v>RequiresFirstTurn</v>
      </c>
      <c r="EK15" s="43" t="str">
        <f>IFERROR(_xlfn.XLOOKUP(EG15,MoveData[Move],MoveData[ActivationCondition]),"Always")</f>
        <v>Always</v>
      </c>
      <c r="EL15" s="43" t="str">
        <f>IFERROR(_xlfn.XLOOKUP(EH15,MoveData[Move],MoveData[ActivationCondition]),"Always")</f>
        <v>Always</v>
      </c>
      <c r="EM15" s="43" t="str">
        <f>IFERROR(_xlfn.XLOOKUP(EI15,MoveData[Move],MoveData[ActivationCondition]),"Always")</f>
        <v>Always</v>
      </c>
      <c r="EN15" s="43" t="b">
        <f t="shared" si="48"/>
        <v>1</v>
      </c>
      <c r="EO15" s="43" t="b">
        <f t="shared" si="49"/>
        <v>1</v>
      </c>
      <c r="EP15" s="43" t="b">
        <f t="shared" si="50"/>
        <v>1</v>
      </c>
      <c r="EQ15" s="43" t="b">
        <f t="shared" si="51"/>
        <v>1</v>
      </c>
      <c r="ER15" s="43" t="str">
        <f>IF(A15="","",
        _xlfn.LET(
            _xlpm.bestMove, B15,
            _xlpm.bestMoveContact, IFERROR(_xlfn.XLOOKUP(_xlpm.bestMove, MoveData[Move], MoveData[MakesContact]), FALSE),
            _xlpm.bestMoveCategory, IFERROR(_xlfn.XLOOKUP(_xlpm.bestMove, MoveData[Move], MoveData[Category]), ""),
            _xlpm.oppMove1Cond, EJ15,
            _xlpm.oppMove2Cond, EK15,
            _xlpm.oppMove3Cond, EL15,
            _xlpm.oppMove4Cond, EM15,
            _xlpm.oppMove1, EF15,
            _xlpm.oppMove2, EG15,
            _xlpm.oppMove3, EH15,
            _xlpm.oppMove4, EI15,
            _xlpm.contactRisk, AND(
                _xlpm.bestMoveContact = TRUE,
                OR(_xlpm.oppMove1Cond="RequiresTargetContactMove", _xlpm.oppMove2Cond="RequiresTargetContactMove", _xlpm.oppMove3Cond="RequiresTargetContactMove", _xlpm.oppMove4Cond="RequiresTargetContactMove")
            ),
            _xlpm.physicalRisk, AND(
                _xlpm.bestMoveCategory = "Physical",
                OR(_xlpm.oppMove1Cond="RequiresTargetPhysicalMove", _xlpm.oppMove2Cond="RequiresTargetPhysicalMove", _xlpm.oppMove3Cond="RequiresTargetPhysicalMove", _xlpm.oppMove4Cond="RequiresTargetPhysicalMove")
            ),
            _xlpm.riskMove, IF(_xlpm.contactRisk,
                IF(_xlpm.oppMove1Cond="RequiresTargetContactMove", _xlpm.oppMove1, IF(_xlpm.oppMove2Cond="RequiresTargetContactMove", _xlpm.oppMove2, IF(_xlpm.oppMove3Cond="RequiresTargetContactMove", _xlpm.oppMove3, _xlpm.oppMove4))),
                IF(_xlpm.physicalRisk,
                    IF(_xlpm.oppMove1Cond="RequiresTargetPhysicalMove", _xlpm.oppMove1, IF(_xlpm.oppMove2Cond="RequiresTargetPhysicalMove", _xlpm.oppMove2, IF(_xlpm.oppMove3Cond="RequiresTargetPhysicalMove", _xlpm.oppMove3, _xlpm.oppMove4))),
                    ""
                )
            ),
            IF(OR(_xlpm.contactRisk, _xlpm.physicalRisk), _xlpm.riskMove &amp; " risk", "")
        )
    )</f>
        <v/>
      </c>
      <c r="ES15" s="43" t="str">
        <f>IF(Calculator[[#This Row],[Team Member]]="","",_xlfn.LET(
        _xlpm.isImmune, DW15,
        _xlpm.incomingRatio, DD15,
        _xlpm.likelyThreshold, 3,
        _xlpm.possibleThreshold, 2,
        _xlpm.meetsLikelyIncoming, _xlpm.incomingRatio&gt;=_xlpm.likelyThreshold,
        _xlpm.meetsPossibleIncoming, _xlpm.incomingRatio&gt;=_xlpm.possibleThreshold,
        IF(_xlpm.isImmune, "",
            IF(_xlpm.meetsLikelyIncoming, "Likely Incoming OHKO",
            IF(_xlpm.meetsPossibleIncoming, "Possible Incoming OHKO", "")))
    ))</f>
        <v/>
      </c>
      <c r="ET15" s="43" t="str">
        <f>IF(A15="","",_xlfn.LET(
        _xlpm.opponentAbility, BC15,
        _xlpm.bestMove, B15,
        _xlpm.ohkoNote, DH15,
        _xlpm.tacticalEffect, IFERROR(_xlfn.XLOOKUP(_xlpm.opponentAbility, AbilityRules[Ability], AbilityRules[Effect]), ""),
        _xlpm.tacticalTargetType, IFERROR(_xlfn.XLOOKUP(_xlpm.opponentAbility, AbilityRules[Ability], AbilityRules[TargetType]), ""),
        _xlpm.bestMoveMakesContact, IFERROR(_xlfn.XLOOKUP(_xlpm.bestMove, MoveData[Move], MoveData[MakesContact]), FALSE),
        _xlpm.hasOHKONote, OR(
            ISNUMBER(SEARCH("Likely OHKO", _xlpm.ohkoNote)),
            ISNUMBER(SEARCH("Possible OHKO", _xlpm.ohkoNote)),
            ISNUMBER(SEARCH("Survival OHKO", _xlpm.ohkoNote))
        ),
        IF(_xlpm.tacticalEffect&lt;&gt;"Tactical", "",
            IF(AND(_xlpm.tacticalTargetType="Contact", _xlpm.bestMoveMakesContact=TRUE), _xlpm.opponentAbility&amp;" risk",
            IF(_xlpm.tacticalTargetType="Faint", _xlpm.opponentAbility&amp;" risk",
            IF(AND(_xlpm.tacticalTargetType="OHKO", _xlpm.hasOHKONote), "Sturdy may prevent OHKO",
            "")))
        )
    ))</f>
        <v/>
      </c>
      <c r="EU15" s="43" t="str">
        <f>IFERROR(VLOOKUP(Table8[[#This Row],[Move1]], MoveData[[Move]:[ActivationPowerMultiplier]], 11, FALSE), "Always")</f>
        <v>Always</v>
      </c>
      <c r="EV15" s="43">
        <f>IFERROR(VLOOKUP(Table8[[#This Row],[Move1]], MoveData[[Move]:[ActivationPowerMultiplier]], 13, FALSE), 1)</f>
        <v>1</v>
      </c>
      <c r="EW15" s="43">
        <f>IF(AND(Table8[[#This Row],[Move1ActCond]]&lt;&gt;"Always", LEFT(Table8[[#This Row],[Move1ActCond]],4)="Targ"), Table8[[#This Row],[Move1Score]]*Table8[[#This Row],[Move1ActMult]], 0)</f>
        <v>0</v>
      </c>
      <c r="EX15" s="43" t="str">
        <f>IFERROR(VLOOKUP(Table8[[#This Row],[Move2]], MoveData[[Move]:[ActivationPowerMultiplier]], 11, FALSE), "Always")</f>
        <v>Always</v>
      </c>
      <c r="EY15" s="43">
        <f>IFERROR(VLOOKUP(Table8[[#This Row],[Move2]], MoveData[[Move]:[ActivationPowerMultiplier]], 13, FALSE), 1)</f>
        <v>1</v>
      </c>
      <c r="EZ15" s="43">
        <f>IF(AND(Table8[[#This Row],[Move2ActCond]]&lt;&gt;"Always", LEFT(Table8[[#This Row],[Move2ActCond]],4)="Targ"), Table8[[#This Row],[Move2Score]]*Table8[[#This Row],[Move2ActMult]], 0)</f>
        <v>0</v>
      </c>
      <c r="FA15" s="43" t="str">
        <f>IFERROR(VLOOKUP(Table8[[#This Row],[Move3]], MoveData[[Move]:[ActivationPowerMultiplier]], 11, FALSE), "Always")</f>
        <v>Always</v>
      </c>
      <c r="FB15" s="43">
        <f>IFERROR(VLOOKUP(Table8[[#This Row],[Move3]], MoveData[[Move]:[ActivationPowerMultiplier]], 13, FALSE), 1)</f>
        <v>1</v>
      </c>
      <c r="FC15" s="43">
        <f>IF(AND(Table8[[#This Row],[Move3ActCond]]&lt;&gt;"Always", LEFT(Table8[[#This Row],[Move3ActCond]],4)="Targ"), Table8[[#This Row],[Move3Score]]*Table8[[#This Row],[Move3ActMult]], 0)</f>
        <v>0</v>
      </c>
      <c r="FD15" s="43" t="str">
        <f>IFERROR(VLOOKUP(Table8[[#This Row],[Move4]], MoveData[[Move]:[ActivationPowerMultiplier]], 11, FALSE), "Always")</f>
        <v>Always</v>
      </c>
      <c r="FE15" s="43">
        <f>IFERROR(VLOOKUP(Table8[[#This Row],[Move4]], MoveData[[Move]:[ActivationPowerMultiplier]], 13, FALSE), 1)</f>
        <v>1</v>
      </c>
      <c r="FF15" s="43">
        <f>IF(AND(Table8[[#This Row],[Move4ActCond]]&lt;&gt;"Always", LEFT(Table8[[#This Row],[Move4ActCond]],4)="Targ"), Table8[[#This Row],[Move4Score]]*Table8[[#This Row],[Move4ActMult]], 0)</f>
        <v>0</v>
      </c>
      <c r="FG15" s="43" t="b" cm="1">
        <f t="array" ref="FG15">_xlfn.LET(
        _xlpm.cond1, Table8[[#This Row],[Move1ActCond]],
        _xlpm.cond2, Table8[[#This Row],[Move2ActCond]],
        _xlpm.cond3, Table8[[#This Row],[Move3ActCond]],
        _xlpm.cond4, Table8[[#This Row],[Move4ActCond]],
        _xlpm.hasConditional, OR(_xlpm.cond1&lt;&gt;"Always", _xlpm.cond2&lt;&gt;"Always", _xlpm.cond3&lt;&gt;"Always", _xlpm.cond4&lt;&gt;"Always"),
        IF(NOT(_xlpm.hasConditional), FALSE,
            _xlfn.LET(
                _xlpm.reqStatuses, IFERROR(_xlfn._xlws.FILTER(ConditionRequirements[RequiredStatus],
                    (ConditionRequirements[ActivationCondition]=_xlpm.cond1)+
                    (ConditionRequirements[ActivationCondition]=_xlpm.cond2)+
                    (ConditionRequirements[ActivationCondition]=_xlpm.cond3)+
                    (ConditionRequirements[ActivationCondition]=_xlpm.cond4)), "None"),
                IF(ROWS(_xlpm.reqStatuses)=1, IF(_xlpm.reqStatuses="None", FALSE,
                    SUMPRODUCT(
                        (IFERROR(_xlfn.XLOOKUP(TeamData[Move1], MoveData[Move], MoveData[StatusEffect], ""), "")=_xlpm.reqStatuses)+
                        (IFERROR(_xlfn.XLOOKUP(TeamData[Move2], MoveData[Move], MoveData[StatusEffect], ""), "")=_xlpm.reqStatuses)+
                        (IFERROR(_xlfn.XLOOKUP(TeamData[Move3], MoveData[Move], MoveData[StatusEffect], ""), "")=_xlpm.reqStatuses)+
                        (IFERROR(_xlfn.XLOOKUP(TeamData[Move4], MoveData[Move], MoveData[StatusEffect], ""), "")=_xlpm.reqStatuses)
                    )&gt;0
                ),
                    SUMPRODUCT(
                        MMULT(
                            (IFERROR(_xlfn.XLOOKUP(TeamData[Move1], MoveData[Move], MoveData[StatusEffect], ""), "")=TRANSPOSE(_xlpm.reqStatuses))+
                            (IFERROR(_xlfn.XLOOKUP(TeamData[Move2], MoveData[Move], MoveData[StatusEffect], ""), "")=TRANSPOSE(_xlpm.reqStatuses))+
                            (IFERROR(_xlfn.XLOOKUP(TeamData[Move3], MoveData[Move], MoveData[StatusEffect], ""), "")=TRANSPOSE(_xlpm.reqStatuses))+
                            (IFERROR(_xlfn.XLOOKUP(TeamData[Move4], MoveData[Move], MoveData[StatusEffect], ""), "")=TRANSPOSE(_xlpm.reqStatuses)),
                            _xlfn.SEQUENCE(ROWS(_xlpm.reqStatuses),1,1,0)
                        )
                    )&gt;0
                )
            )
        )
    )</f>
        <v>0</v>
      </c>
      <c r="FH15" s="43" t="str" cm="1">
        <f t="array" ref="FH15">IF(NOT(Table8[[#This Row],[TeamCanStatus]]), "",
        _xlfn.LET(
            _xlpm.scores, _xlfn.HSTACK(Table8[[#This Row],[Move1BoostedScore]], Table8[[#This Row],[Move2BoostedScore]], Table8[[#This Row],[Move3BoostedScore]], Table8[[#This Row],[Move4BoostedScore]]),
            _xlpm.moves, _xlfn.HSTACK(Table8[[#This Row],[Move1]], Table8[[#This Row],[Move2]], Table8[[#This Row],[Move3]], Table8[[#This Row],[Move4]]),
            _xlpm.maxScore, MAX(_xlpm.scores),
            IF(_xlpm.maxScore=0, "", INDEX(_xlpm.moves, MATCH(_xlpm.maxScore, _xlpm.scores, 0)))
        )
    )</f>
        <v/>
      </c>
      <c r="FI15" s="43">
        <f>IF(NOT(Table8[[#This Row],[TeamCanStatus]]), 0, MAX(Table8[[#This Row],[Move1BoostedScore]], Table8[[#This Row],[Move2BoostedScore]], Table8[[#This Row],[Move3BoostedScore]], Table8[[#This Row],[Move4BoostedScore]]))</f>
        <v>0</v>
      </c>
      <c r="FJ15" s="43" t="str">
        <f>IF(ISNUMBER(SEARCH("Likely", Table8[[#This Row],[IncomingOHKONote]])), "",
        IF(AND(Table8[[#This Row],[TeamCanStatus]], Table8[[#This Row],[BestBoostedScore]]&gt;Table8[[#This Row],[BestMoveScoreNumeric]]),
            "Status-boosted "&amp;Table8[[#This Row],[BestConditionalMove]]&amp;" possible",
            ""))</f>
        <v/>
      </c>
      <c r="FK15" s="43" t="b">
        <f>OR(Table8[[#This Row],[Move1]]="Body Press", Table8[[#This Row],[Move2]]="Body Press", Table8[[#This Row],[Move3]]="Body Press", Table8[[#This Row],[Move4]]="Body Press")</f>
        <v>0</v>
      </c>
      <c r="FL15" s="43">
        <f>MAX(
        IFERROR(_xlfn.XLOOKUP(Table8[[#This Row],[Move1]], MoveData[Move], MoveData[DefStageChange], 0), 0),
        IFERROR(_xlfn.XLOOKUP(Table8[[#This Row],[Move2]], MoveData[Move], MoveData[DefStageChange], 0), 0),
        IFERROR(_xlfn.XLOOKUP(Table8[[#This Row],[Move3]], MoveData[Move], MoveData[DefStageChange], 0), 0),
        IFERROR(_xlfn.XLOOKUP(Table8[[#This Row],[Move4]], MoveData[Move], MoveData[DefStageChange], 0), 0)
    )</f>
        <v>0</v>
      </c>
      <c r="FM15" s="43" t="str" cm="1">
        <f t="array" ref="FM15">IF(AND(Table8[[#This Row],[HasBodyPress]], Table8[[#This Row],[MaxDefBoost]]&gt;0),
        _xlfn.LET(
            _xlpm.baseScore, _xlfn.SWITCH(TRUE,
                Table8[[#This Row],[Move1]]="Body Press", Table8[[#This Row],[Move1Score]],
                Table8[[#This Row],[Move2]]="Body Press", Table8[[#This Row],[Move2Score]],
                Table8[[#This Row],[Move3]]="Body Press", Table8[[#This Row],[Move3Score]],
                Table8[[#This Row],[Move4]]="Body Press", Table8[[#This Row],[Move4Score]],
                0
            ),
            _xlpm.stageMultiplier, (2 + Table8[[#This Row],[MaxDefBoost]]) / 2,
            _xlpm.baseScore * _xlpm.stageMultiplier
        ),
        ""
    )</f>
        <v/>
      </c>
      <c r="FN15" s="43" t="str">
        <f>IF(ISNUMBER(SEARCH("Likely", Table8[[#This Row],[IncomingOHKONote]])), "",
        IF(AND(Table8[[#This Row],[BoostedBodyPressScore]]&lt;&gt;"", Table8[[#This Row],[BoostedBodyPressScore]] &gt; Table8[[#This Row],[BestMoveScoreNumeric]]),
            "Defense-boosted Body Press possible",
            ""))</f>
        <v/>
      </c>
      <c r="FO15" s="30" t="b">
        <f>_xlfn.LET(
    _xlpm.heldItem, _xlfn.XLOOKUP($A15,TeamData[Pokemon],TeamData[Held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O15,
    _xlpm.moveCategory, Q15,
    _xlpm.effectiveness, R15,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1</v>
      </c>
      <c r="FP15" s="30" t="b">
        <f>_xlfn.LET(
    _xlpm.heldItem, _xlfn.XLOOKUP($A15,TeamData[Pokemon],TeamData[Held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W15,
    _xlpm.moveCategory, Y15,
    _xlpm.effectiveness, Z15,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1</v>
      </c>
      <c r="FQ15" s="30" t="b">
        <f>_xlfn.LET(
    _xlpm.heldItem, _xlfn.XLOOKUP($A15,TeamData[Pokemon],TeamData[Held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AE15,
    _xlpm.moveCategory, AG15,
    _xlpm.effectiveness, AH15,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1</v>
      </c>
      <c r="FR15" s="30" t="b">
        <f>_xlfn.LET(
    _xlpm.heldItem, _xlfn.XLOOKUP($A15,TeamData[Pokemon],TeamData[Held Item],""),
    _xlpm.itemEffectType, _xlfn.XLOOKUP(_xlpm.heldItem,Items[Item],Items[EffectType],"None"),
    _xlpm.itemMoveType, _xlfn.XLOOKUP(_xlpm.heldItem,Items[Item],Items[MoveTypeAffected],"None"),
    _xlpm.itemMoveCategory, _xlfn.XLOOKUP(_xlpm.heldItem,Items[Item],Items[MoveCategoryAffected],"None"),
    _xlpm.itemCondition, _xlfn.XLOOKUP(_xlpm.heldItem,Items[Item],Items[Condition],"None"),
    _xlpm.moveType, AM15,
    _xlpm.moveCategory, AO15,
    _xlpm.effectiveness, AP15,
    IF(_xlpm.itemEffectType&lt;&gt;"DamageMultiplier", FALSE,
        IF(AND(_xlpm.itemMoveType&lt;&gt;"None", _xlpm.itemMoveType=_xlpm.moveType), TRUE,
        IF(AND(_xlpm.itemMoveCategory&lt;&gt;"None", _xlpm.itemMoveCategory=_xlpm.moveCategory), TRUE,
        IF(AND(_xlpm.itemCondition="SuperEffective", _xlpm.effectiveness&gt;1), TRUE,
        FALSE))))
)</f>
        <v>0</v>
      </c>
      <c r="FS15" s="30" t="b">
        <f t="shared" si="43"/>
        <v>1</v>
      </c>
      <c r="FT15" s="30" t="b">
        <f>_xlfn.LET(
    _xlpm.heldItem, _xlfn.XLOOKUP($A15,TeamData[Pokemon],TeamData[Held Item],""),
    _xlpm.itemEffectType, _xlfn.XLOOKUP(_xlpm.heldItem,Items[Item],Items[EffectType],"None"),
    _xlpm.itemAppliesTo, _xlfn.XLOOKUP(_xlpm.heldItem,Items[Item],Items[AppliesTo],"None"),
    AND(_xlpm.itemEffectType="StatMultiplier", _xlpm.itemAppliesTo="Defense")
)</f>
        <v>0</v>
      </c>
      <c r="FU15" s="30">
        <f t="shared" si="44"/>
        <v>204.99955598969896</v>
      </c>
      <c r="FV15" s="30" cm="1">
        <f t="array" ref="FV15">IF($A15="",
"",
_xlfn.LET(
    _xlpm.oppMatch, MATCH(1,(Opponent[Pokemon]=$B$4)*(Opponent[Battle]=$B$3),0),
    _xlpm.move1, INDEX(Opponent[Move1],_xlpm.oppMatch),
    _xlpm.move1Power, INDEX(Opponent[Move1Power],_xlpm.oppMatch),
    _xlpm.move1Type, INDEX(Opponent[Move1Type],_xlpm.oppMatch),
    _xlpm.move1Cat, INDEX(Opponent[Move1Category],_xlpm.oppMatch),
    _xlpm.move1DmgMethod, DP15,
    _xlpm.move2, INDEX(Opponent[Move2],_xlpm.oppMatch),
    _xlpm.move2Power, INDEX(Opponent[Move2Power],_xlpm.oppMatch),
    _xlpm.move2Type, INDEX(Opponent[Move2Type],_xlpm.oppMatch),
    _xlpm.move2Cat, INDEX(Opponent[Move2Category],_xlpm.oppMatch),
    _xlpm.move2DmgMethod, DQ15,
    _xlpm.move3, INDEX(Opponent[Move3],_xlpm.oppMatch),
    _xlpm.move3Power, INDEX(Opponent[Move3Power],_xlpm.oppMatch),
    _xlpm.move3Type, INDEX(Opponent[Move3Type],_xlpm.oppMatch),
    _xlpm.move3Cat, INDEX(Opponent[Move3Category],_xlpm.oppMatch),
    _xlpm.move3DmgMethod, DR15,
    _xlpm.move4, INDEX(Opponent[Move4],_xlpm.oppMatch),
    _xlpm.move4Power, INDEX(Opponent[Move4Power],_xlpm.oppMatch),
    _xlpm.move4Type, INDEX(Opponent[Move4Type],_xlpm.oppMatch),
    _xlpm.move4Cat, INDEX(Opponent[Move4Category],_xlpm.oppMatch),
    _xlpm.move4DmgMethod, DS15,
    _xlpm.teamType1, INDEX(TeamData[Type1],MATCH(A15,TeamData[Pokemon],0)),
    _xlpm.teamType2, INDEX(TeamData[Type2],MATCH(A15,TeamData[Pokemon],0)),
    _xlpm.teamDEF, INDEX(TeamData[EffectiveDEF],MATCH(A15,TeamData[Pokemon],0)),
    _xlpm.teamSPD, INDEX(TeamData[EffectiveSPD],MATCH(A15,TeamData[Pokemon],0)),
    _xlpm.teamATK, INDEX(TeamData[ATK],MATCH(A15,TeamData[Pokemon],0)),
    _xlpm.oppATK, $AU15,
    _xlpm.oppDEF, $AV15,
    _xlpm.oppSPA, $AW15,
    _xlpm.oppType1, $N$2,
    _xlpm.oppType2, $O$2,
    _xlpm.intimidateMod, IF($BB15="Intimidate",0.667,1),
    _xlpm.typeEff1, INDEX(TypeChart[],MATCH(_xlpm.move1Type,TypeChart[AttackType ↓ / DefendingType →],0),MATCH(_xlpm.teamType1,TypeChart[#Headers],0)) * IF(_xlpm.teamType2="",1,INDEX(TypeChart[],MATCH(_xlpm.move1Type,TypeChart[AttackType ↓ / DefendingType →],0),MATCH(_xlpm.teamType2,TypeChart[#Headers],0))),
    _xlpm.typeEff2, INDEX(TypeChart[],MATCH(_xlpm.move2Type,TypeChart[AttackType ↓ / DefendingType →],0),MATCH(_xlpm.teamType1,TypeChart[#Headers],0)) * IF(_xlpm.teamType2="",1,INDEX(TypeChart[],MATCH(_xlpm.move2Type,TypeChart[AttackType ↓ / DefendingType →],0),MATCH(_xlpm.teamType2,TypeChart[#Headers],0))),
    _xlpm.typeEff3, INDEX(TypeChart[],MATCH(_xlpm.move3Type,TypeChart[AttackType ↓ / DefendingType →],0),MATCH(_xlpm.teamType1,TypeChart[#Headers],0)) * IF(_xlpm.teamType2="",1,INDEX(TypeChart[],MATCH(_xlpm.move3Type,TypeChart[AttackType ↓ / DefendingType →],0),MATCH(_xlpm.teamType2,TypeChart[#Headers],0))),
    _xlpm.typeEff4, INDEX(TypeChart[],MATCH(_xlpm.move4Type,TypeChart[AttackType ↓ / DefendingType →],0),MATCH(_xlpm.teamType1,TypeChart[#Headers],0)) * IF(_xlpm.teamType2="",1,INDEX(TypeChart[],MATCH(_xlpm.move4Type,TypeChart[AttackType ↓ / DefendingType →],0),MATCH(_xlpm.teamType2,TypeChart[#Headers],0))),
    _xlpm.stab1, IF(OR(_xlpm.move1Type=_xlpm.oppType1,_xlpm.move1Type=_xlpm.oppType2),1.5,1),
    _xlpm.stab2, IF(OR(_xlpm.move2Type=_xlpm.oppType1,_xlpm.move2Type=_xlpm.oppType2),1.5,1),
    _xlpm.stab3, IF(OR(_xlpm.move3Type=_xlpm.oppType1,_xlpm.move3Type=_xlpm.oppType2),1.5,1),
    _xlpm.stab4, IF(OR(_xlpm.move4Type=_xlpm.oppType1,_xlpm.move4Type=_xlpm.oppType2),1.5,1),
    _xlpm.hits1, IFERROR(VLOOKUP(_xlpm.move1,MoveData[],6,FALSE),1),
    _xlpm.hits2, IFERROR(VLOOKUP(_xlpm.move2,MoveData[],6,FALSE),1),
    _xlpm.hits3, IFERROR(VLOOKUP(_xlpm.move3,MoveData[],6,FALSE),1),
    _xlpm.hits4, IFERROR(VLOOKUP(_xlpm.move4,MoveData[],6,FALSE),1),
    _xlpm.atkStat1, _xlfn.SWITCH(_xlpm.move1DmgMethod, "UseDEF", _xlpm.oppDEF, "TargetATK", _xlpm.teamATK, IF(_xlpm.move1Cat="Physical", _xlpm.oppATK*_xlpm.intimidateMod, IF(_xlpm.move1Cat="Special", _xlpm.oppSPA, 0))),
    _xlpm.defStat1, _xlfn.SWITCH(_xlpm.move1DmgMethod, "TargetDEFasSPD", _xlpm.teamDEF, IF(_xlpm.move1Cat="Physical", _xlpm.teamDEF, _xlpm.teamSPD)),
    _xlpm.atkStat2, _xlfn.SWITCH(_xlpm.move2DmgMethod, "UseDEF", _xlpm.oppDEF, "TargetATK", _xlpm.teamATK, IF(_xlpm.move2Cat="Physical", _xlpm.oppATK*_xlpm.intimidateMod, IF(_xlpm.move2Cat="Special", _xlpm.oppSPA, 0))),
    _xlpm.defStat2, _xlfn.SWITCH(_xlpm.move2DmgMethod, "TargetDEFasSPD", _xlpm.teamDEF, IF(_xlpm.move2Cat="Physical", _xlpm.teamDEF, _xlpm.teamSPD)),
    _xlpm.atkStat3, _xlfn.SWITCH(_xlpm.move3DmgMethod, "UseDEF", _xlpm.oppDEF, "TargetATK", _xlpm.teamATK, IF(_xlpm.move3Cat="Physical", _xlpm.oppATK*_xlpm.intimidateMod, IF(_xlpm.move3Cat="Special", _xlpm.oppSPA, 0))),
    _xlpm.defStat3, _xlfn.SWITCH(_xlpm.move3DmgMethod, "TargetDEFasSPD", _xlpm.teamDEF, IF(_xlpm.move3Cat="Physical", _xlpm.teamDEF, _xlpm.teamSPD)),
    _xlpm.atkStat4, _xlfn.SWITCH(_xlpm.move4DmgMethod, "UseDEF", _xlpm.oppDEF, "TargetATK", _xlpm.teamATK, IF(_xlpm.move4Cat="Physical", _xlpm.oppATK*_xlpm.intimidateMod, IF(_xlpm.move4Cat="Special", _xlpm.oppSPA, 0))),
    _xlpm.defStat4, _xlfn.SWITCH(_xlpm.move4DmgMethod, "TargetDEFasSPD", _xlpm.teamDEF, IF(_xlpm.move4Cat="Physical", _xlpm.teamDEF, _xlpm.teamSPD)),
    _xlpm.score1, IF(OR(_xlpm.move1Power="Varies", _xlpm.move1DmgMethod="Fixed", _xlpm.move1DmgMethod="OHKO"), 0, IFERROR(_xlpm.move1Power * _xlpm.hits1 * _xlpm.typeEff1 * _xlpm.stab1 * $BZ15 * _xlpm.atkStat1 / _xlpm.defStat1, 0)),
    _xlpm.score2, IF(OR(_xlpm.move2Power="Varies", _xlpm.move2DmgMethod="Fixed", _xlpm.move2DmgMethod="OHKO"), 0, IFERROR(_xlpm.move2Power * _xlpm.hits2 * _xlpm.typeEff2 * _xlpm.stab2 * $CA15 * _xlpm.atkStat2 / _xlpm.defStat2, 0)),
    _xlpm.score3, IF(OR(_xlpm.move3Power="Varies", _xlpm.move3DmgMethod="Fixed", _xlpm.move3DmgMethod="OHKO"), 0, IFERROR(_xlpm.move3Power * _xlpm.hits3 * _xlpm.typeEff3 * _xlpm.stab3 * $CB15 * _xlpm.atkStat3 / _xlpm.defStat3, 0)),
    _xlpm.score4, IF(OR(_xlpm.move4Power="Varies", _xlpm.move4DmgMethod="Fixed", _xlpm.move4DmgMethod="OHKO"), 0, IFERROR(_xlpm.move4Power * _xlpm.hits4 * _xlpm.typeEff4 * _xlpm.stab4 * $CC15 * _xlpm.atkStat4 / _xlpm.defStat4, 0)),
    MAX(_xlpm.score1*$EN15, _xlpm.score2*$EO15, _xlpm.score3*$EP15, _xlpm.score4*$EQ15)
))</f>
        <v>185.38750000000002</v>
      </c>
    </row>
    <row r="16" spans="1:178" ht="15.75" thickBot="1">
      <c r="A16" s="19"/>
      <c r="B16" s="19"/>
      <c r="C16" s="19"/>
      <c r="D16" s="19"/>
      <c r="E16" s="89" t="s">
        <v>1364</v>
      </c>
      <c r="F16" s="90"/>
      <c r="G16" s="19"/>
      <c r="H16" s="19"/>
      <c r="I16" s="19"/>
      <c r="J16" s="19"/>
      <c r="K16" s="19"/>
      <c r="L16" s="19"/>
      <c r="M16" s="19"/>
      <c r="N16" s="30"/>
      <c r="O16" s="30"/>
      <c r="P16" s="30"/>
      <c r="Q16" s="30"/>
      <c r="R16" s="30"/>
      <c r="S16" s="30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</row>
    <row r="17" spans="1:150">
      <c r="A17" s="44" t="s">
        <v>32</v>
      </c>
      <c r="B17" s="45" t="s">
        <v>19</v>
      </c>
      <c r="C17" s="46" t="s">
        <v>34</v>
      </c>
      <c r="D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</row>
    <row r="18" spans="1:150">
      <c r="A18" s="47" t="s">
        <v>41</v>
      </c>
      <c r="B18" s="48" t="s">
        <v>43</v>
      </c>
      <c r="C18" s="49" t="s">
        <v>40</v>
      </c>
      <c r="D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</row>
    <row r="19" spans="1:150">
      <c r="A19" s="50" t="s">
        <v>20</v>
      </c>
      <c r="B19" s="51" t="s">
        <v>53</v>
      </c>
      <c r="C19" s="52" t="s">
        <v>23</v>
      </c>
      <c r="D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</row>
    <row r="20" spans="1:150">
      <c r="A20" s="53" t="s">
        <v>35</v>
      </c>
      <c r="B20" s="54" t="s">
        <v>22</v>
      </c>
      <c r="C20" s="55" t="s">
        <v>21</v>
      </c>
      <c r="D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</row>
    <row r="21" spans="1:150">
      <c r="A21" s="56" t="s">
        <v>25</v>
      </c>
      <c r="B21" s="57" t="s">
        <v>46</v>
      </c>
      <c r="C21" s="58" t="s">
        <v>47</v>
      </c>
      <c r="D21" s="30"/>
      <c r="G21" s="30"/>
      <c r="H21" s="30"/>
      <c r="I21" s="30"/>
      <c r="J21" s="30"/>
      <c r="K21" s="30"/>
      <c r="L21" s="30"/>
      <c r="M21" s="30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</row>
    <row r="22" spans="1:150" ht="15.75" thickBot="1">
      <c r="A22" s="59" t="s">
        <v>38</v>
      </c>
      <c r="B22" s="60" t="s">
        <v>24</v>
      </c>
      <c r="C22" s="61" t="s">
        <v>44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</row>
    <row r="23" spans="1:150"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</row>
    <row r="24" spans="1:150" ht="15.75">
      <c r="A24" s="62" t="s">
        <v>971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</row>
    <row r="25" spans="1:150">
      <c r="A25" s="63" t="s">
        <v>972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</row>
    <row r="26" spans="1:150">
      <c r="A26" s="64" t="s">
        <v>973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</row>
    <row r="27" spans="1:150">
      <c r="A27" s="65" t="s">
        <v>974</v>
      </c>
    </row>
    <row r="28" spans="1:150">
      <c r="A28" s="66" t="s">
        <v>975</v>
      </c>
    </row>
  </sheetData>
  <mergeCells count="3">
    <mergeCell ref="A5:D5"/>
    <mergeCell ref="A1:B1"/>
    <mergeCell ref="E16:F16"/>
  </mergeCells>
  <phoneticPr fontId="2" type="noConversion"/>
  <conditionalFormatting sqref="A17:C22">
    <cfRule type="expression" dxfId="119" priority="250">
      <formula>A17="Normal"</formula>
    </cfRule>
    <cfRule type="expression" dxfId="118" priority="251">
      <formula>A17="Fire"</formula>
    </cfRule>
    <cfRule type="expression" dxfId="117" priority="252">
      <formula>A17="Water"</formula>
    </cfRule>
    <cfRule type="expression" dxfId="116" priority="253">
      <formula>A17="Electric"</formula>
    </cfRule>
    <cfRule type="expression" dxfId="115" priority="254">
      <formula>A17="Grass"</formula>
    </cfRule>
    <cfRule type="expression" dxfId="114" priority="255">
      <formula>A17="Ice"</formula>
    </cfRule>
    <cfRule type="expression" dxfId="113" priority="256">
      <formula>A17="Fighting"</formula>
    </cfRule>
    <cfRule type="expression" dxfId="112" priority="257">
      <formula>A17="Poison"</formula>
    </cfRule>
    <cfRule type="expression" dxfId="111" priority="258">
      <formula>A17="Ground"</formula>
    </cfRule>
    <cfRule type="expression" dxfId="110" priority="259">
      <formula>A17="Flying"</formula>
    </cfRule>
    <cfRule type="expression" dxfId="109" priority="260">
      <formula>A17="Psychic"</formula>
    </cfRule>
    <cfRule type="expression" dxfId="108" priority="261">
      <formula>A17="Bug"</formula>
    </cfRule>
    <cfRule type="expression" dxfId="107" priority="262">
      <formula>A17="Rock"</formula>
    </cfRule>
    <cfRule type="expression" dxfId="106" priority="263">
      <formula>A17="Ghost"</formula>
    </cfRule>
    <cfRule type="expression" dxfId="105" priority="264">
      <formula>A17="Dragon"</formula>
    </cfRule>
    <cfRule type="expression" dxfId="104" priority="265">
      <formula>A17="Dark"</formula>
    </cfRule>
    <cfRule type="expression" dxfId="103" priority="266">
      <formula>A17="Steel"</formula>
    </cfRule>
    <cfRule type="expression" dxfId="102" priority="267">
      <formula>A17="Fairy"</formula>
    </cfRule>
  </conditionalFormatting>
  <conditionalFormatting sqref="B4">
    <cfRule type="expression" dxfId="101" priority="232">
      <formula>$N$2="Normal"</formula>
    </cfRule>
    <cfRule type="expression" dxfId="100" priority="233">
      <formula>$N$2="Fire"</formula>
    </cfRule>
    <cfRule type="expression" dxfId="99" priority="234">
      <formula>$N$2="Water"</formula>
    </cfRule>
    <cfRule type="expression" dxfId="98" priority="235">
      <formula>$N$2="Electric"</formula>
    </cfRule>
    <cfRule type="expression" dxfId="97" priority="236">
      <formula>$N$2="Grass"</formula>
    </cfRule>
    <cfRule type="expression" dxfId="96" priority="237">
      <formula>$N$2="Ice"</formula>
    </cfRule>
    <cfRule type="expression" dxfId="95" priority="238">
      <formula>$N$2="Fighting"</formula>
    </cfRule>
    <cfRule type="expression" dxfId="94" priority="239">
      <formula>$N$2="Poison"</formula>
    </cfRule>
    <cfRule type="expression" dxfId="93" priority="240">
      <formula>$N$2="Ground"</formula>
    </cfRule>
    <cfRule type="expression" dxfId="92" priority="241">
      <formula>$N$2="Flying"</formula>
    </cfRule>
    <cfRule type="expression" dxfId="91" priority="242">
      <formula>$N$2="Psychic"</formula>
    </cfRule>
    <cfRule type="expression" dxfId="90" priority="243">
      <formula>$N$2="Bug"</formula>
    </cfRule>
    <cfRule type="expression" dxfId="89" priority="244">
      <formula>$N$2="Rock"</formula>
    </cfRule>
    <cfRule type="expression" dxfId="88" priority="245">
      <formula>$N$2="Ghost"</formula>
    </cfRule>
    <cfRule type="expression" dxfId="87" priority="246">
      <formula>$N$2="Dragon"</formula>
    </cfRule>
    <cfRule type="expression" dxfId="86" priority="247">
      <formula>$N$2="Dark"</formula>
    </cfRule>
    <cfRule type="expression" dxfId="85" priority="248">
      <formula>$N$2="Steel"</formula>
    </cfRule>
    <cfRule type="expression" dxfId="84" priority="249">
      <formula>$N$2="Fairy"</formula>
    </cfRule>
  </conditionalFormatting>
  <conditionalFormatting sqref="C10:C15">
    <cfRule type="expression" dxfId="65" priority="196">
      <formula>$C10="Normal"</formula>
    </cfRule>
    <cfRule type="expression" dxfId="64" priority="197">
      <formula>$C10="Fire"</formula>
    </cfRule>
    <cfRule type="expression" dxfId="63" priority="198">
      <formula>$C10="Water"</formula>
    </cfRule>
    <cfRule type="expression" dxfId="62" priority="199">
      <formula>$C10="Electric"</formula>
    </cfRule>
    <cfRule type="expression" dxfId="61" priority="200">
      <formula>$C10="Grass"</formula>
    </cfRule>
    <cfRule type="expression" dxfId="60" priority="201">
      <formula>$C10="Ice"</formula>
    </cfRule>
    <cfRule type="expression" dxfId="59" priority="202">
      <formula>$C10="Fighting"</formula>
    </cfRule>
    <cfRule type="expression" dxfId="58" priority="203">
      <formula>$C10="Poison"</formula>
    </cfRule>
    <cfRule type="expression" dxfId="57" priority="204">
      <formula>$C10="Ground"</formula>
    </cfRule>
    <cfRule type="expression" dxfId="56" priority="205">
      <formula>$C10="Flying"</formula>
    </cfRule>
    <cfRule type="expression" dxfId="55" priority="206">
      <formula>$C10="Psychic"</formula>
    </cfRule>
    <cfRule type="expression" dxfId="54" priority="207">
      <formula>$C10="Bug"</formula>
    </cfRule>
    <cfRule type="expression" dxfId="53" priority="208">
      <formula>$C10="Rock"</formula>
    </cfRule>
    <cfRule type="expression" dxfId="52" priority="209">
      <formula>$C10="Ghost"</formula>
    </cfRule>
    <cfRule type="expression" dxfId="51" priority="210">
      <formula>$C10="Dragon"</formula>
    </cfRule>
    <cfRule type="expression" dxfId="50" priority="211">
      <formula>$C10="Dark"</formula>
    </cfRule>
    <cfRule type="expression" dxfId="49" priority="212">
      <formula>$C10="Steel"</formula>
    </cfRule>
    <cfRule type="expression" dxfId="48" priority="213">
      <formula>$C10="Fairy"</formula>
    </cfRule>
  </conditionalFormatting>
  <conditionalFormatting sqref="D7">
    <cfRule type="expression" dxfId="47" priority="286">
      <formula>MAX($G$10:$G$15)&gt;2</formula>
    </cfRule>
    <cfRule type="expression" dxfId="46" priority="287">
      <formula>AND(MAX($G$10:$G$15)&gt;=1,MAX($G$10:$G$15)&lt;=2)</formula>
    </cfRule>
    <cfRule type="expression" dxfId="45" priority="288">
      <formula>AND(MAX($G$10:$G$15)&gt;=0.5,MAX($G$10:$G$15)&lt;1)</formula>
    </cfRule>
    <cfRule type="expression" dxfId="44" priority="289">
      <formula>MAX($G$10:$G$15)&lt;0.5</formula>
    </cfRule>
  </conditionalFormatting>
  <conditionalFormatting sqref="E10:E15">
    <cfRule type="expression" dxfId="43" priority="300">
      <formula>FU10=MAX($FU$10:$FU$15)</formula>
    </cfRule>
    <cfRule type="expression" dxfId="42" priority="301">
      <formula>FU10=MIN($FU$10:$FU$15)</formula>
    </cfRule>
  </conditionalFormatting>
  <conditionalFormatting sqref="F10:F15">
    <cfRule type="expression" dxfId="23" priority="302">
      <formula>FV10=MAX($FV$10:$FV$15)</formula>
    </cfRule>
    <cfRule type="expression" dxfId="22" priority="303">
      <formula>FV10=MIN($FV$10:$FV$15)</formula>
    </cfRule>
  </conditionalFormatting>
  <conditionalFormatting sqref="G10:G15">
    <cfRule type="expression" dxfId="21" priority="290">
      <formula>G10=MAX($G$10:$G$15)</formula>
    </cfRule>
    <cfRule type="expression" dxfId="20" priority="291">
      <formula>AND(G10=MIN($G$10:$G$15),G10&lt;&gt;"")</formula>
    </cfRule>
  </conditionalFormatting>
  <conditionalFormatting sqref="H10:H15">
    <cfRule type="expression" dxfId="19" priority="214">
      <formula>$K10="Normal"</formula>
    </cfRule>
    <cfRule type="expression" dxfId="18" priority="215">
      <formula>$K10="Fire"</formula>
    </cfRule>
    <cfRule type="expression" dxfId="17" priority="216">
      <formula>$K10="Water"</formula>
    </cfRule>
    <cfRule type="expression" dxfId="16" priority="217">
      <formula>$K10="Electric"</formula>
    </cfRule>
    <cfRule type="expression" dxfId="15" priority="218">
      <formula>$K10="Grass"</formula>
    </cfRule>
    <cfRule type="expression" dxfId="14" priority="219">
      <formula>$K10="Ice"</formula>
    </cfRule>
    <cfRule type="expression" dxfId="13" priority="220">
      <formula>$K10="Fighting"</formula>
    </cfRule>
    <cfRule type="expression" dxfId="12" priority="221">
      <formula>$K10="Poison"</formula>
    </cfRule>
    <cfRule type="expression" dxfId="11" priority="222">
      <formula>$K10="Ground"</formula>
    </cfRule>
    <cfRule type="expression" dxfId="10" priority="223">
      <formula>$K10="Flying"</formula>
    </cfRule>
    <cfRule type="expression" dxfId="9" priority="224">
      <formula>$K10="Psychic"</formula>
    </cfRule>
    <cfRule type="expression" dxfId="8" priority="225">
      <formula>$K10="Bug"</formula>
    </cfRule>
    <cfRule type="expression" dxfId="7" priority="226">
      <formula>$K10="Rock"</formula>
    </cfRule>
    <cfRule type="expression" dxfId="6" priority="227">
      <formula>$K10="Ghost"</formula>
    </cfRule>
    <cfRule type="expression" dxfId="5" priority="228">
      <formula>$K10="Dragon"</formula>
    </cfRule>
    <cfRule type="expression" dxfId="4" priority="229">
      <formula>$K10="Dark"</formula>
    </cfRule>
    <cfRule type="expression" dxfId="3" priority="230">
      <formula>$K10="Steel"</formula>
    </cfRule>
    <cfRule type="expression" dxfId="2" priority="231">
      <formula>$K10="Fairy"</formula>
    </cfRule>
  </conditionalFormatting>
  <pageMargins left="0.7" right="0.7" top="0.75" bottom="0.75" header="0.3" footer="0.3"/>
  <ignoredErrors>
    <ignoredError sqref="H10:H15" calculatedColumn="1"/>
  </ignoredErrors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2" id="{88BB2A89-DDF1-42DF-8E9C-F3480C6A3A09}">
            <xm:f>AND(A10&lt;&gt;"",VLOOKUP($A10,'Team Data'!$A$2:$B$7,2,FALSE)="Normal")</xm:f>
            <x14:dxf>
              <font>
                <color rgb="FF000000"/>
              </font>
              <fill>
                <patternFill patternType="solid">
                  <fgColor indexed="64"/>
                  <bgColor rgb="FFA8A878"/>
                </patternFill>
              </fill>
            </x14:dxf>
          </x14:cfRule>
          <x14:cfRule type="expression" priority="173" id="{1569230E-D84C-4311-85E7-65ED3DBA9DE7}">
            <xm:f>AND(A10&lt;&gt;"",VLOOKUP($A10,'Team Data'!$A$2:$B$7,2,FALSE)="Fire")</xm:f>
            <x14:dxf>
              <font>
                <color rgb="FF000000"/>
              </font>
              <fill>
                <patternFill patternType="solid">
                  <fgColor indexed="64"/>
                  <bgColor rgb="FFF08030"/>
                </patternFill>
              </fill>
            </x14:dxf>
          </x14:cfRule>
          <x14:cfRule type="expression" priority="174" id="{56B04FF1-20C4-4591-A5A4-C0D30D3B8687}">
            <xm:f>AND(A10&lt;&gt;"",VLOOKUP($A10,'Team Data'!$A$2:$B$7,2,FALSE)="Water")</xm:f>
            <x14:dxf>
              <font>
                <color rgb="FF000000"/>
              </font>
              <fill>
                <patternFill patternType="solid">
                  <fgColor indexed="64"/>
                  <bgColor rgb="FF6890F0"/>
                </patternFill>
              </fill>
            </x14:dxf>
          </x14:cfRule>
          <x14:cfRule type="expression" priority="175" id="{55F0A8E4-54CF-4EEE-9187-3FCD5611E321}">
            <xm:f>AND(A10&lt;&gt;"",VLOOKUP($A10,'Team Data'!$A$2:$B$7,2,FALSE)="Electric")</xm:f>
            <x14:dxf>
              <font>
                <color rgb="FF000000"/>
              </font>
              <fill>
                <patternFill patternType="solid">
                  <fgColor indexed="64"/>
                  <bgColor rgb="FFF8D030"/>
                </patternFill>
              </fill>
            </x14:dxf>
          </x14:cfRule>
          <x14:cfRule type="expression" priority="176" id="{8D17CD35-5A1D-4215-BF07-66BAEB99DDEB}">
            <xm:f>AND(A10&lt;&gt;"",VLOOKUP($A10,'Team Data'!$A$2:$B$7,2,FALSE)="Grass")</xm:f>
            <x14:dxf>
              <font>
                <color rgb="FF000000"/>
              </font>
              <fill>
                <patternFill patternType="solid">
                  <fgColor indexed="64"/>
                  <bgColor rgb="FF78C850"/>
                </patternFill>
              </fill>
            </x14:dxf>
          </x14:cfRule>
          <x14:cfRule type="expression" priority="177" id="{B89485A3-3DD6-43C0-A7AE-AF57859289B5}">
            <xm:f>AND(A10&lt;&gt;"",VLOOKUP($A10,'Team Data'!$A$2:$B$7,2,FALSE)="Ice")</xm:f>
            <x14:dxf>
              <font>
                <color rgb="FF000000"/>
              </font>
              <fill>
                <patternFill patternType="solid">
                  <fgColor indexed="64"/>
                  <bgColor rgb="FF98D8D8"/>
                </patternFill>
              </fill>
            </x14:dxf>
          </x14:cfRule>
          <x14:cfRule type="expression" priority="178" id="{33A1A9B8-737F-404F-A8BD-DF2EF0E992FA}">
            <xm:f>AND(A10&lt;&gt;"",VLOOKUP($A10,'Team Data'!$A$2:$B$7,2,FALSE)="Fighting")</xm:f>
            <x14:dxf>
              <font>
                <color rgb="FFFFFFFF"/>
              </font>
              <fill>
                <patternFill patternType="solid">
                  <fgColor indexed="64"/>
                  <bgColor rgb="FFC22E28"/>
                </patternFill>
              </fill>
            </x14:dxf>
          </x14:cfRule>
          <x14:cfRule type="expression" priority="179" id="{1B111797-B8E2-4F65-BE53-06305C77C888}">
            <xm:f>AND(A10&lt;&gt;"",VLOOKUP($A10,'Team Data'!$A$2:$B$7,2,FALSE)="Poison")</xm:f>
            <x14:dxf>
              <font>
                <color rgb="FFFFFFFF"/>
              </font>
              <fill>
                <patternFill patternType="solid">
                  <fgColor indexed="64"/>
                  <bgColor rgb="FFA040A0"/>
                </patternFill>
              </fill>
            </x14:dxf>
          </x14:cfRule>
          <x14:cfRule type="expression" priority="180" id="{C3191E99-8744-4F9D-B9B4-D5275FFC84E1}">
            <xm:f>AND(A10&lt;&gt;"",VLOOKUP($A10,'Team Data'!$A$2:$B$7,2,FALSE)="Ground")</xm:f>
            <x14:dxf>
              <font>
                <color rgb="FF000000"/>
              </font>
              <fill>
                <patternFill patternType="solid">
                  <fgColor indexed="64"/>
                  <bgColor rgb="FFE0C068"/>
                </patternFill>
              </fill>
            </x14:dxf>
          </x14:cfRule>
          <x14:cfRule type="expression" priority="181" id="{36B59CC7-35F0-4F1D-A8C8-1EEE87841381}">
            <xm:f>AND(A10&lt;&gt;"",VLOOKUP($A10,'Team Data'!$A$2:$B$7,2,FALSE)="Flying")</xm:f>
            <x14:dxf>
              <font>
                <color rgb="FF000000"/>
              </font>
              <fill>
                <patternFill patternType="solid">
                  <fgColor indexed="64"/>
                  <bgColor rgb="FFA890F0"/>
                </patternFill>
              </fill>
            </x14:dxf>
          </x14:cfRule>
          <x14:cfRule type="expression" priority="182" id="{4400B2A0-7BA6-4819-85F9-42ABE5CE4A7F}">
            <xm:f>AND(A10&lt;&gt;"",VLOOKUP($A10,'Team Data'!$A$2:$B$7,2,FALSE)="Psychic")</xm:f>
            <x14:dxf>
              <font>
                <color rgb="FF000000"/>
              </font>
              <fill>
                <patternFill patternType="solid">
                  <fgColor indexed="64"/>
                  <bgColor rgb="FFF85888"/>
                </patternFill>
              </fill>
            </x14:dxf>
          </x14:cfRule>
          <x14:cfRule type="expression" priority="183" id="{7EB355DF-FC41-46EA-8665-1F7D9BBD61FF}">
            <xm:f>AND(A10&lt;&gt;"",VLOOKUP($A10,'Team Data'!$A$2:$B$7,2,FALSE)="Bug")</xm:f>
            <x14:dxf>
              <font>
                <color rgb="FF000000"/>
              </font>
              <fill>
                <patternFill patternType="solid">
                  <fgColor indexed="64"/>
                  <bgColor rgb="FFA8B820"/>
                </patternFill>
              </fill>
            </x14:dxf>
          </x14:cfRule>
          <x14:cfRule type="expression" priority="184" id="{E448BF18-0F20-4DA0-82C6-1180EC7A59F4}">
            <xm:f>AND(A10&lt;&gt;"",VLOOKUP($A10,'Team Data'!$A$2:$B$7,2,FALSE)="Rock")</xm:f>
            <x14:dxf>
              <font>
                <color rgb="FF000000"/>
              </font>
              <fill>
                <patternFill patternType="solid">
                  <fgColor indexed="64"/>
                  <bgColor rgb="FFB8A038"/>
                </patternFill>
              </fill>
            </x14:dxf>
          </x14:cfRule>
          <x14:cfRule type="expression" priority="185" id="{E9A31E54-1F0F-48D9-B0D2-E7C0A319FEA9}">
            <xm:f>AND(A10&lt;&gt;"",VLOOKUP($A10,'Team Data'!$A$2:$B$7,2,FALSE)="Ghost")</xm:f>
            <x14:dxf>
              <font>
                <color rgb="FFFFFFFF"/>
              </font>
              <fill>
                <patternFill patternType="solid">
                  <fgColor indexed="64"/>
                  <bgColor rgb="FF705898"/>
                </patternFill>
              </fill>
            </x14:dxf>
          </x14:cfRule>
          <x14:cfRule type="expression" priority="186" id="{C7D5376A-18D9-4C1B-8D37-D69C024D55CB}">
            <xm:f>AND(A10&lt;&gt;"",VLOOKUP($A10,'Team Data'!$A$2:$B$7,2,FALSE)="Dragon")</xm:f>
            <x14:dxf>
              <font>
                <color rgb="FFFFFFFF"/>
              </font>
              <fill>
                <patternFill patternType="solid">
                  <fgColor indexed="64"/>
                  <bgColor rgb="FF7038F8"/>
                </patternFill>
              </fill>
            </x14:dxf>
          </x14:cfRule>
          <x14:cfRule type="expression" priority="187" id="{B57968A9-99EE-44FA-8613-96ECEC83E3E5}">
            <xm:f>AND(A10&lt;&gt;"",VLOOKUP($A10,'Team Data'!$A$2:$B$7,2,FALSE)="Dark")</xm:f>
            <x14:dxf>
              <font>
                <color rgb="FFFFFFFF"/>
              </font>
              <fill>
                <patternFill patternType="solid">
                  <fgColor indexed="64"/>
                  <bgColor rgb="FF705848"/>
                </patternFill>
              </fill>
            </x14:dxf>
          </x14:cfRule>
          <x14:cfRule type="expression" priority="188" id="{A01A43E2-1288-4809-A334-106A444616E9}">
            <xm:f>AND(A10&lt;&gt;"",VLOOKUP($A10,'Team Data'!$A$2:$B$7,2,FALSE)="Steel")</xm:f>
            <x14:dxf>
              <font>
                <color rgb="FF000000"/>
              </font>
              <fill>
                <patternFill patternType="solid">
                  <fgColor indexed="64"/>
                  <bgColor rgb="FFB8B8D0"/>
                </patternFill>
              </fill>
            </x14:dxf>
          </x14:cfRule>
          <x14:cfRule type="expression" priority="189" id="{B5DCBCB5-66E2-40C6-ACB4-49F8A7971870}">
            <xm:f>AND(A10&lt;&gt;"",VLOOKUP($A10,'Team Data'!$A$2:$B$7,2,FALSE)="Fairy")</xm:f>
            <x14:dxf>
              <font>
                <color rgb="FF000000"/>
              </font>
              <fill>
                <patternFill patternType="solid">
                  <fgColor indexed="64"/>
                  <bgColor rgb="FFEE99AC"/>
                </patternFill>
              </fill>
            </x14:dxf>
          </x14:cfRule>
          <xm:sqref>A10:A15</xm:sqref>
        </x14:conditionalFormatting>
        <x14:conditionalFormatting xmlns:xm="http://schemas.microsoft.com/office/excel/2006/main">
          <x14:cfRule type="expression" priority="268" id="{20ACBC11-2964-42D9-9553-844E6028C315}">
            <xm:f>INDEX('Team Data'!$B$2:$B$7,MATCH($B$7,'Team Data'!$A$2:$A$7,0))="Normal"</xm:f>
            <x14:dxf>
              <font>
                <color rgb="FF000000"/>
              </font>
              <fill>
                <patternFill patternType="solid">
                  <fgColor indexed="64"/>
                  <bgColor rgb="FFA8A878"/>
                </patternFill>
              </fill>
            </x14:dxf>
          </x14:cfRule>
          <x14:cfRule type="expression" priority="269" id="{3004061C-4A09-4D7D-A00D-6A5751D3D550}">
            <xm:f>INDEX('Team Data'!$B$2:$B$7,MATCH($B$7,'Team Data'!$A$2:$A$7,0))="Fire"</xm:f>
            <x14:dxf>
              <font>
                <color rgb="FF000000"/>
              </font>
              <fill>
                <patternFill patternType="solid">
                  <fgColor indexed="64"/>
                  <bgColor rgb="FFF08030"/>
                </patternFill>
              </fill>
            </x14:dxf>
          </x14:cfRule>
          <x14:cfRule type="expression" priority="270" id="{EA3E9D63-22F8-479D-98E6-6DFC7CA90FC2}">
            <xm:f>INDEX('Team Data'!$B$2:$B$7,MATCH($B$7,'Team Data'!$A$2:$A$7,0))="Water"</xm:f>
            <x14:dxf>
              <font>
                <color rgb="FF000000"/>
              </font>
              <fill>
                <patternFill patternType="solid">
                  <fgColor indexed="64"/>
                  <bgColor rgb="FF6890F0"/>
                </patternFill>
              </fill>
            </x14:dxf>
          </x14:cfRule>
          <x14:cfRule type="expression" priority="271" id="{29DA94F2-C6BB-4DD7-AA22-39FE817D2BD8}">
            <xm:f>INDEX('Team Data'!$B$2:$B$7,MATCH($B$7,'Team Data'!$A$2:$A$7,0))="Electric"</xm:f>
            <x14:dxf>
              <font>
                <color rgb="FF000000"/>
              </font>
              <fill>
                <patternFill patternType="solid">
                  <fgColor indexed="64"/>
                  <bgColor rgb="FFF8D030"/>
                </patternFill>
              </fill>
            </x14:dxf>
          </x14:cfRule>
          <x14:cfRule type="expression" priority="272" id="{BD0E7324-F4AA-4DD8-B51F-B80BA44CA54B}">
            <xm:f>INDEX('Team Data'!$B$2:$B$7,MATCH($B$7,'Team Data'!$A$2:$A$7,0))="Grass"</xm:f>
            <x14:dxf>
              <font>
                <color rgb="FF000000"/>
              </font>
              <fill>
                <patternFill patternType="solid">
                  <fgColor indexed="64"/>
                  <bgColor rgb="FF78C850"/>
                </patternFill>
              </fill>
            </x14:dxf>
          </x14:cfRule>
          <x14:cfRule type="expression" priority="273" id="{34794A27-4E49-41B5-BEBF-475E4AF75346}">
            <xm:f>INDEX('Team Data'!$B$2:$B$7,MATCH($B$7,'Team Data'!$A$2:$A$7,0))="Ice"</xm:f>
            <x14:dxf>
              <font>
                <color rgb="FF000000"/>
              </font>
              <fill>
                <patternFill patternType="solid">
                  <fgColor indexed="64"/>
                  <bgColor rgb="FF98D8D8"/>
                </patternFill>
              </fill>
            </x14:dxf>
          </x14:cfRule>
          <x14:cfRule type="expression" priority="274" id="{0EF9AFA2-B398-4C68-8CC8-181857F05A2A}">
            <xm:f>INDEX('Team Data'!$B$2:$B$7,MATCH($B$7,'Team Data'!$A$2:$A$7,0))="Fighting"</xm:f>
            <x14:dxf>
              <font>
                <color rgb="FFFFFFFF"/>
              </font>
              <fill>
                <patternFill patternType="solid">
                  <fgColor indexed="64"/>
                  <bgColor rgb="FFC22E28"/>
                </patternFill>
              </fill>
            </x14:dxf>
          </x14:cfRule>
          <x14:cfRule type="expression" priority="275" id="{202670FA-9B8D-4EBE-8693-509A2B2C9322}">
            <xm:f>INDEX('Team Data'!$B$2:$B$7,MATCH($B$7,'Team Data'!$A$2:$A$7,0))="Poison"</xm:f>
            <x14:dxf>
              <font>
                <color rgb="FFFFFFFF"/>
              </font>
              <fill>
                <patternFill patternType="solid">
                  <fgColor indexed="64"/>
                  <bgColor rgb="FFA040A0"/>
                </patternFill>
              </fill>
            </x14:dxf>
          </x14:cfRule>
          <x14:cfRule type="expression" priority="276" id="{3DF78F16-AA98-4B5F-B80F-3BC4486904D4}">
            <xm:f>INDEX('Team Data'!$B$2:$B$7,MATCH($B$7,'Team Data'!$A$2:$A$7,0))="Ground"</xm:f>
            <x14:dxf>
              <font>
                <color rgb="FF000000"/>
              </font>
              <fill>
                <patternFill patternType="solid">
                  <fgColor indexed="64"/>
                  <bgColor rgb="FFE0C068"/>
                </patternFill>
              </fill>
            </x14:dxf>
          </x14:cfRule>
          <x14:cfRule type="expression" priority="277" id="{31FAEDFD-843C-4857-9350-EF2E5A0679C7}">
            <xm:f>INDEX('Team Data'!$B$2:$B$7,MATCH($B$7,'Team Data'!$A$2:$A$7,0))="Flying"</xm:f>
            <x14:dxf>
              <font>
                <color rgb="FF000000"/>
              </font>
              <fill>
                <patternFill patternType="solid">
                  <fgColor indexed="64"/>
                  <bgColor rgb="FFA890F0"/>
                </patternFill>
              </fill>
            </x14:dxf>
          </x14:cfRule>
          <x14:cfRule type="expression" priority="278" id="{6E8EC0B4-2868-4713-80B5-D1C29C5BE894}">
            <xm:f>INDEX('Team Data'!$B$2:$B$7,MATCH($B$7,'Team Data'!$A$2:$A$7,0))="Psychic"</xm:f>
            <x14:dxf>
              <font>
                <color rgb="FF000000"/>
              </font>
              <fill>
                <patternFill patternType="solid">
                  <fgColor indexed="64"/>
                  <bgColor rgb="FFF85888"/>
                </patternFill>
              </fill>
            </x14:dxf>
          </x14:cfRule>
          <x14:cfRule type="expression" priority="279" id="{0BE94F17-5779-4CAF-A235-41853667848B}">
            <xm:f>INDEX('Team Data'!$B$2:$B$7,MATCH($B$7,'Team Data'!$A$2:$A$7,0))="Bug"</xm:f>
            <x14:dxf>
              <font>
                <color rgb="FF000000"/>
              </font>
              <fill>
                <patternFill patternType="solid">
                  <fgColor indexed="64"/>
                  <bgColor rgb="FFA8B820"/>
                </patternFill>
              </fill>
            </x14:dxf>
          </x14:cfRule>
          <x14:cfRule type="expression" priority="280" id="{3B1E9058-20E2-49B2-B7C6-47D96D19F74D}">
            <xm:f>INDEX('Team Data'!$B$2:$B$7,MATCH($B$7,'Team Data'!$A$2:$A$7,0))="Rock"</xm:f>
            <x14:dxf>
              <font>
                <color rgb="FF000000"/>
              </font>
              <fill>
                <patternFill patternType="solid">
                  <fgColor indexed="64"/>
                  <bgColor rgb="FFB8A038"/>
                </patternFill>
              </fill>
            </x14:dxf>
          </x14:cfRule>
          <x14:cfRule type="expression" priority="281" id="{12246039-7B99-4FED-B9DC-4CCC6D0F1966}">
            <xm:f>INDEX('Team Data'!$B$2:$B$7,MATCH($B$7,'Team Data'!$A$2:$A$7,0))="Ghost"</xm:f>
            <x14:dxf>
              <font>
                <color rgb="FFFFFFFF"/>
              </font>
              <fill>
                <patternFill patternType="solid">
                  <fgColor indexed="64"/>
                  <bgColor rgb="FF705898"/>
                </patternFill>
              </fill>
            </x14:dxf>
          </x14:cfRule>
          <x14:cfRule type="expression" priority="282" id="{D73C9804-7E4D-4605-9C97-BCE2568B75A9}">
            <xm:f>INDEX('Team Data'!$B$2:$B$7,MATCH($B$7,'Team Data'!$A$2:$A$7,0))="Dragon"</xm:f>
            <x14:dxf>
              <font>
                <color rgb="FFFFFFFF"/>
              </font>
              <fill>
                <patternFill patternType="solid">
                  <fgColor indexed="64"/>
                  <bgColor rgb="FF7038F8"/>
                </patternFill>
              </fill>
            </x14:dxf>
          </x14:cfRule>
          <x14:cfRule type="expression" priority="283" id="{B80360D2-06B8-4F83-B229-E91724014F31}">
            <xm:f>INDEX('Team Data'!$B$2:$B$7,MATCH($B$7,'Team Data'!$A$2:$A$7,0))="Dark"</xm:f>
            <x14:dxf>
              <font>
                <color rgb="FFFFFFFF"/>
              </font>
              <fill>
                <patternFill patternType="solid">
                  <fgColor indexed="64"/>
                  <bgColor rgb="FF705848"/>
                </patternFill>
              </fill>
            </x14:dxf>
          </x14:cfRule>
          <x14:cfRule type="expression" priority="284" id="{198F1FE9-3F20-4199-8400-A7689A23C7C1}">
            <xm:f>INDEX('Team Data'!$B$2:$B$7,MATCH($B$7,'Team Data'!$A$2:$A$7,0))="Steel"</xm:f>
            <x14:dxf>
              <font>
                <color rgb="FF000000"/>
              </font>
              <fill>
                <patternFill patternType="solid">
                  <fgColor indexed="64"/>
                  <bgColor rgb="FFB8B8D0"/>
                </patternFill>
              </fill>
            </x14:dxf>
          </x14:cfRule>
          <x14:cfRule type="expression" priority="285" id="{B5C71FD5-2B7D-4A8A-9FF8-AA840FC2162C}">
            <xm:f>INDEX('Team Data'!$B$2:$B$7,MATCH($B$7,'Team Data'!$A$2:$A$7,0))="Fairy"</xm:f>
            <x14:dxf>
              <font>
                <color rgb="FF000000"/>
              </font>
              <fill>
                <patternFill patternType="solid">
                  <fgColor indexed="64"/>
                  <bgColor rgb="FFEE99AC"/>
                </patternFill>
              </fill>
            </x14:dxf>
          </x14:cfRule>
          <xm:sqref>B7</xm:sqref>
        </x14:conditionalFormatting>
        <x14:conditionalFormatting xmlns:xm="http://schemas.microsoft.com/office/excel/2006/main">
          <x14:cfRule type="expression" priority="154" id="{42C86871-E1B4-4E6E-8C6E-EDC7073F6AA8}">
            <xm:f>VLOOKUP($F$7,'Team Data'!$A$2:$B$7,2,FALSE)="Normal"</xm:f>
            <x14:dxf>
              <font>
                <color rgb="FF000000"/>
              </font>
              <fill>
                <patternFill patternType="solid">
                  <fgColor indexed="64"/>
                  <bgColor rgb="FFA8A878"/>
                </patternFill>
              </fill>
            </x14:dxf>
          </x14:cfRule>
          <x14:cfRule type="expression" priority="155" id="{8D46BB31-F064-44F9-ACF7-6C2E5E137B60}">
            <xm:f>VLOOKUP($F$7,'Team Data'!$A$2:$B$7,2,FALSE)="Fire"</xm:f>
            <x14:dxf>
              <font>
                <color rgb="FF000000"/>
              </font>
              <fill>
                <patternFill patternType="solid">
                  <fgColor indexed="64"/>
                  <bgColor rgb="FFF08030"/>
                </patternFill>
              </fill>
            </x14:dxf>
          </x14:cfRule>
          <x14:cfRule type="expression" priority="156" id="{68D189F1-C665-4D50-8CF5-9A2E35F5CB26}">
            <xm:f>VLOOKUP($F$7,'Team Data'!$A$2:$B$7,2,FALSE)="Water"</xm:f>
            <x14:dxf>
              <font>
                <color rgb="FF000000"/>
              </font>
              <fill>
                <patternFill patternType="solid">
                  <fgColor indexed="64"/>
                  <bgColor rgb="FF6890F0"/>
                </patternFill>
              </fill>
            </x14:dxf>
          </x14:cfRule>
          <x14:cfRule type="expression" priority="157" id="{18DD2ADC-525D-4BF3-8660-0383395C9553}">
            <xm:f>VLOOKUP($F$7,'Team Data'!$A$2:$B$7,2,FALSE)="Electric"</xm:f>
            <x14:dxf>
              <font>
                <color rgb="FF000000"/>
              </font>
              <fill>
                <patternFill patternType="solid">
                  <fgColor indexed="64"/>
                  <bgColor rgb="FFF8D030"/>
                </patternFill>
              </fill>
            </x14:dxf>
          </x14:cfRule>
          <x14:cfRule type="expression" priority="158" id="{9A1D8D7A-5CFB-473E-8F6E-970D78611927}">
            <xm:f>VLOOKUP($F$7,'Team Data'!$A$2:$B$7,2,FALSE)="Grass"</xm:f>
            <x14:dxf>
              <font>
                <color rgb="FF000000"/>
              </font>
              <fill>
                <patternFill patternType="solid">
                  <fgColor indexed="64"/>
                  <bgColor rgb="FF78C850"/>
                </patternFill>
              </fill>
            </x14:dxf>
          </x14:cfRule>
          <x14:cfRule type="expression" priority="159" id="{CC8B8D71-BCDC-41EB-8443-D17117B72D55}">
            <xm:f>VLOOKUP($F$7,'Team Data'!$A$2:$B$7,2,FALSE)="Ice"</xm:f>
            <x14:dxf>
              <font>
                <color rgb="FF000000"/>
              </font>
              <fill>
                <patternFill patternType="solid">
                  <fgColor indexed="64"/>
                  <bgColor rgb="FF98D8D8"/>
                </patternFill>
              </fill>
            </x14:dxf>
          </x14:cfRule>
          <x14:cfRule type="expression" priority="160" id="{E5E2D37B-CDBA-4DDA-B61E-03573D47E5CD}">
            <xm:f>VLOOKUP($F$7,'Team Data'!$A$2:$B$7,2,FALSE)="Fighting"</xm:f>
            <x14:dxf>
              <font>
                <color rgb="FFFFFFFF"/>
              </font>
              <fill>
                <patternFill patternType="solid">
                  <fgColor indexed="64"/>
                  <bgColor rgb="FFC22E28"/>
                </patternFill>
              </fill>
            </x14:dxf>
          </x14:cfRule>
          <x14:cfRule type="expression" priority="161" id="{B4BA6BD0-A152-4759-8F6C-66B1CC312908}">
            <xm:f>VLOOKUP($F$7,'Team Data'!$A$2:$B$7,2,FALSE)="Poison"</xm:f>
            <x14:dxf>
              <font>
                <color rgb="FFFFFFFF"/>
              </font>
              <fill>
                <patternFill patternType="solid">
                  <fgColor indexed="64"/>
                  <bgColor rgb="FFA040A0"/>
                </patternFill>
              </fill>
            </x14:dxf>
          </x14:cfRule>
          <x14:cfRule type="expression" priority="162" id="{B405013C-59FB-44BD-8758-4105CDB1497B}">
            <xm:f>VLOOKUP($F$7,'Team Data'!$A$2:$B$7,2,FALSE)="Ground"</xm:f>
            <x14:dxf>
              <font>
                <color rgb="FF000000"/>
              </font>
              <fill>
                <patternFill patternType="solid">
                  <fgColor indexed="64"/>
                  <bgColor rgb="FFE0C068"/>
                </patternFill>
              </fill>
            </x14:dxf>
          </x14:cfRule>
          <x14:cfRule type="expression" priority="163" id="{679D5314-7A46-4F79-8427-15A91829FD53}">
            <xm:f>VLOOKUP($F$7,'Team Data'!$A$2:$B$7,2,FALSE)="Flying"</xm:f>
            <x14:dxf>
              <font>
                <color rgb="FF000000"/>
              </font>
              <fill>
                <patternFill patternType="solid">
                  <fgColor indexed="64"/>
                  <bgColor rgb="FFA890F0"/>
                </patternFill>
              </fill>
            </x14:dxf>
          </x14:cfRule>
          <x14:cfRule type="expression" priority="164" id="{1AC9D98A-B6BD-4ED8-9DC0-C0507A3EE80B}">
            <xm:f>VLOOKUP($F$7,'Team Data'!$A$2:$B$7,2,FALSE)="Psychic"</xm:f>
            <x14:dxf>
              <font>
                <color rgb="FF000000"/>
              </font>
              <fill>
                <patternFill patternType="solid">
                  <fgColor indexed="64"/>
                  <bgColor rgb="FFF85888"/>
                </patternFill>
              </fill>
            </x14:dxf>
          </x14:cfRule>
          <x14:cfRule type="expression" priority="165" id="{C9D5FD53-5AA4-45BD-8BE3-A6BFE41890AC}">
            <xm:f>VLOOKUP($F$7,'Team Data'!$A$2:$B$7,2,FALSE)="Bug"</xm:f>
            <x14:dxf>
              <font>
                <color rgb="FF000000"/>
              </font>
              <fill>
                <patternFill patternType="solid">
                  <fgColor indexed="64"/>
                  <bgColor rgb="FFA8B820"/>
                </patternFill>
              </fill>
            </x14:dxf>
          </x14:cfRule>
          <x14:cfRule type="expression" priority="166" id="{6AA9E882-ABBE-47F1-AF44-21DADA51EF3D}">
            <xm:f>VLOOKUP($F$7,'Team Data'!$A$2:$B$7,2,FALSE)="Rock"</xm:f>
            <x14:dxf>
              <font>
                <color rgb="FF000000"/>
              </font>
              <fill>
                <patternFill patternType="solid">
                  <fgColor indexed="64"/>
                  <bgColor rgb="FFB8A038"/>
                </patternFill>
              </fill>
            </x14:dxf>
          </x14:cfRule>
          <x14:cfRule type="expression" priority="167" id="{16E431BE-3CC4-443D-9CCE-E43577F60545}">
            <xm:f>VLOOKUP($F$7,'Team Data'!$A$2:$B$7,2,FALSE)="Ghost"</xm:f>
            <x14:dxf>
              <font>
                <color rgb="FFFFFFFF"/>
              </font>
              <fill>
                <patternFill patternType="solid">
                  <fgColor indexed="64"/>
                  <bgColor rgb="FF705898"/>
                </patternFill>
              </fill>
            </x14:dxf>
          </x14:cfRule>
          <x14:cfRule type="expression" priority="168" id="{2D99DA68-C0C6-4E58-A199-8C6977921602}">
            <xm:f>VLOOKUP($F$7,'Team Data'!$A$2:$B$7,2,FALSE)="Dragon"</xm:f>
            <x14:dxf>
              <font>
                <color rgb="FFFFFFFF"/>
              </font>
              <fill>
                <patternFill patternType="solid">
                  <fgColor indexed="64"/>
                  <bgColor rgb="FF7038F8"/>
                </patternFill>
              </fill>
            </x14:dxf>
          </x14:cfRule>
          <x14:cfRule type="expression" priority="169" id="{DF14160D-A020-4670-8BB0-5841CF6BBA24}">
            <xm:f>VLOOKUP($F$7,'Team Data'!$A$2:$B$7,2,FALSE)="Dark"</xm:f>
            <x14:dxf>
              <font>
                <color rgb="FFFFFFFF"/>
              </font>
              <fill>
                <patternFill patternType="solid">
                  <fgColor indexed="64"/>
                  <bgColor rgb="FF705848"/>
                </patternFill>
              </fill>
            </x14:dxf>
          </x14:cfRule>
          <x14:cfRule type="expression" priority="170" id="{361D100C-BC3A-409B-9F69-F0A8F576BD7B}">
            <xm:f>VLOOKUP($F$7,'Team Data'!$A$2:$B$7,2,FALSE)="Steel"</xm:f>
            <x14:dxf>
              <font>
                <color rgb="FF000000"/>
              </font>
              <fill>
                <patternFill patternType="solid">
                  <fgColor indexed="64"/>
                  <bgColor rgb="FFB8B8D0"/>
                </patternFill>
              </fill>
            </x14:dxf>
          </x14:cfRule>
          <x14:cfRule type="expression" priority="171" id="{32684B0A-5B59-44E2-A2EC-C2D1A61508B9}">
            <xm:f>VLOOKUP($F$7,'Team Data'!$A$2:$B$7,2,FALSE)="Fairy"</xm:f>
            <x14:dxf>
              <font>
                <color rgb="FF000000"/>
              </font>
              <fill>
                <patternFill patternType="solid">
                  <fgColor indexed="64"/>
                  <bgColor rgb="FFEE99AC"/>
                </patternFill>
              </fill>
            </x14:dxf>
          </x14:cfRule>
          <xm:sqref>F8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EC36872-C7DA-45EE-AEBB-B17F94F155DD}">
          <x14:formula1>
            <xm:f>_xlfn.ANCHORARRAY(Lists!$C$1)</xm:f>
          </x14:formula1>
          <xm:sqref>B3</xm:sqref>
        </x14:dataValidation>
        <x14:dataValidation type="list" allowBlank="1" showInputMessage="1" showErrorMessage="1" xr:uid="{66C36D06-2050-42A0-8823-C1BBC37D255C}">
          <x14:formula1>
            <xm:f>_xlfn.ANCHORARRAY(Lists!$D$1)</xm:f>
          </x14:formula1>
          <xm:sqref>B4</xm:sqref>
        </x14:dataValidation>
        <x14:dataValidation type="list" allowBlank="1" showInputMessage="1" showErrorMessage="1" xr:uid="{0CC83094-0A8F-4145-AF8E-9C521A7A06C1}">
          <x14:formula1>
            <xm:f>Lists!$A$1:$A$24</xm:f>
          </x14:formula1>
          <xm:sqref>B2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8546-0C08-431F-B2A2-2A2D90946177}">
  <dimension ref="A1:G28"/>
  <sheetViews>
    <sheetView workbookViewId="0">
      <selection activeCell="F358" sqref="F358"/>
    </sheetView>
  </sheetViews>
  <sheetFormatPr defaultRowHeight="15"/>
  <cols>
    <col min="6" max="6" width="21.140625" customWidth="1"/>
    <col min="7" max="7" width="17.140625" customWidth="1"/>
  </cols>
  <sheetData>
    <row r="1" spans="1:7">
      <c r="A1" s="13" t="s">
        <v>703</v>
      </c>
      <c r="B1" s="13" t="s">
        <v>1035</v>
      </c>
      <c r="C1" t="str" cm="1">
        <f t="array" ref="C1:C2">_xlfn.SORTBY(_xlfn.UNIQUE(_xlfn._xlws.FILTER(Opponent[Battle],Opponent[Trainer]=Compass!$B$2)),_xlfn.UNIQUE(_xlfn._xlws.FILTER(Opponent[BattleOrder],Opponent[Trainer]=Compass!$B$2)))</f>
        <v>Gym 2</v>
      </c>
      <c r="D1" t="str" cm="1">
        <f t="array" ref="D1:D5">_xlfn.SORTBY(_xlfn.UNIQUE(_xlfn._xlws.FILTER(Opponent[Pokemon],(Opponent[Trainer]=Compass!$B$2)*(Opponent[Battle]=Compass!$B$3))),_xlfn.UNIQUE(_xlfn._xlws.FILTER(Opponent[Slot],(Opponent[Trainer]=Compass!$B$2)*(Opponent[Battle]=Compass!$B$3))))</f>
        <v>Golisopod</v>
      </c>
      <c r="F1" t="s">
        <v>1242</v>
      </c>
      <c r="G1" t="s">
        <v>1306</v>
      </c>
    </row>
    <row r="2" spans="1:7">
      <c r="A2" s="13" t="s">
        <v>981</v>
      </c>
      <c r="B2" s="13" t="s">
        <v>726</v>
      </c>
      <c r="C2" t="str">
        <v>Wyndon Stadium</v>
      </c>
      <c r="D2" t="str">
        <v>Seaking</v>
      </c>
      <c r="F2" t="s">
        <v>1303</v>
      </c>
      <c r="G2" t="s">
        <v>1302</v>
      </c>
    </row>
    <row r="3" spans="1:7">
      <c r="A3" s="13" t="s">
        <v>1034</v>
      </c>
      <c r="B3" s="13" t="s">
        <v>697</v>
      </c>
      <c r="D3" t="str">
        <v>Pelipper</v>
      </c>
      <c r="F3" t="s">
        <v>1303</v>
      </c>
      <c r="G3" t="s">
        <v>53</v>
      </c>
    </row>
    <row r="4" spans="1:7">
      <c r="A4" s="13" t="s">
        <v>1040</v>
      </c>
      <c r="B4" s="13" t="s">
        <v>789</v>
      </c>
      <c r="D4" t="str">
        <v>Barraskewda</v>
      </c>
      <c r="F4" t="s">
        <v>1303</v>
      </c>
      <c r="G4" t="s">
        <v>1300</v>
      </c>
    </row>
    <row r="5" spans="1:7">
      <c r="A5" s="13" t="s">
        <v>1043</v>
      </c>
      <c r="B5" s="13" t="s">
        <v>970</v>
      </c>
      <c r="D5" t="str">
        <v>Drednaw</v>
      </c>
      <c r="F5" t="s">
        <v>1303</v>
      </c>
      <c r="G5" t="s">
        <v>1301</v>
      </c>
    </row>
    <row r="6" spans="1:7">
      <c r="A6" s="13" t="s">
        <v>1050</v>
      </c>
      <c r="B6" s="13" t="s">
        <v>1</v>
      </c>
      <c r="F6" t="s">
        <v>1304</v>
      </c>
      <c r="G6" t="s">
        <v>53</v>
      </c>
    </row>
    <row r="7" spans="1:7">
      <c r="A7" s="13" t="s">
        <v>750</v>
      </c>
      <c r="B7" s="13" t="s">
        <v>989</v>
      </c>
    </row>
    <row r="8" spans="1:7">
      <c r="A8" s="13" t="s">
        <v>670</v>
      </c>
      <c r="B8" s="13" t="s">
        <v>58</v>
      </c>
    </row>
    <row r="9" spans="1:7">
      <c r="A9" s="13" t="s">
        <v>1033</v>
      </c>
      <c r="B9" s="13" t="s">
        <v>70</v>
      </c>
    </row>
    <row r="10" spans="1:7">
      <c r="A10" s="13" t="s">
        <v>1032</v>
      </c>
      <c r="B10" s="13" t="s">
        <v>664</v>
      </c>
    </row>
    <row r="11" spans="1:7">
      <c r="A11" s="13" t="s">
        <v>1031</v>
      </c>
      <c r="B11" s="13" t="s">
        <v>704</v>
      </c>
    </row>
    <row r="12" spans="1:7">
      <c r="A12" s="13" t="s">
        <v>663</v>
      </c>
      <c r="B12" s="13" t="s">
        <v>741</v>
      </c>
    </row>
    <row r="13" spans="1:7">
      <c r="A13" s="13" t="s">
        <v>778</v>
      </c>
      <c r="B13" s="13" t="s">
        <v>743</v>
      </c>
    </row>
    <row r="14" spans="1:7">
      <c r="A14" s="13" t="s">
        <v>725</v>
      </c>
      <c r="B14" s="13" t="s">
        <v>744</v>
      </c>
    </row>
    <row r="15" spans="1:7">
      <c r="A15" s="13" t="s">
        <v>57</v>
      </c>
      <c r="B15" s="13" t="s">
        <v>745</v>
      </c>
    </row>
    <row r="16" spans="1:7">
      <c r="A16" s="13" t="s">
        <v>71</v>
      </c>
      <c r="B16" s="13" t="s">
        <v>1020</v>
      </c>
    </row>
    <row r="17" spans="1:2">
      <c r="A17" s="13" t="s">
        <v>801</v>
      </c>
      <c r="B17" s="13" t="s">
        <v>677</v>
      </c>
    </row>
    <row r="18" spans="1:2">
      <c r="A18" s="13" t="s">
        <v>740</v>
      </c>
      <c r="B18" s="13" t="s">
        <v>671</v>
      </c>
    </row>
    <row r="19" spans="1:2">
      <c r="A19" s="13" t="s">
        <v>759</v>
      </c>
      <c r="B19" s="13" t="s">
        <v>802</v>
      </c>
    </row>
    <row r="20" spans="1:2">
      <c r="A20" s="13" t="s">
        <v>765</v>
      </c>
      <c r="B20" s="13" t="s">
        <v>674</v>
      </c>
    </row>
    <row r="21" spans="1:2">
      <c r="A21" s="13" t="s">
        <v>788</v>
      </c>
      <c r="B21" s="13" t="s">
        <v>679</v>
      </c>
    </row>
    <row r="22" spans="1:2">
      <c r="A22" s="13" t="s">
        <v>978</v>
      </c>
      <c r="B22" s="13" t="s">
        <v>689</v>
      </c>
    </row>
    <row r="23" spans="1:2">
      <c r="A23" s="13" t="s">
        <v>1052</v>
      </c>
      <c r="B23" s="13" t="s">
        <v>729</v>
      </c>
    </row>
    <row r="24" spans="1:2">
      <c r="A24" s="13" t="s">
        <v>724</v>
      </c>
      <c r="B24" s="13" t="s">
        <v>720</v>
      </c>
    </row>
    <row r="25" spans="1:2">
      <c r="A25" s="13"/>
      <c r="B25" s="13" t="s">
        <v>721</v>
      </c>
    </row>
    <row r="26" spans="1:2">
      <c r="A26" s="13"/>
      <c r="B26" s="13" t="s">
        <v>739</v>
      </c>
    </row>
    <row r="27" spans="1:2">
      <c r="A27" s="13"/>
      <c r="B27" s="13" t="s">
        <v>2</v>
      </c>
    </row>
    <row r="28" spans="1:2">
      <c r="A28" s="13"/>
      <c r="B28" s="13" t="s">
        <v>99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E339-A1F3-419F-9F1F-AA751B2E713B}">
  <dimension ref="A1:H16"/>
  <sheetViews>
    <sheetView workbookViewId="0">
      <selection activeCell="A3" sqref="A3"/>
    </sheetView>
  </sheetViews>
  <sheetFormatPr defaultRowHeight="15"/>
  <cols>
    <col min="1" max="1" width="13.42578125" bestFit="1" customWidth="1"/>
    <col min="2" max="2" width="16.85546875" bestFit="1" customWidth="1"/>
    <col min="3" max="3" width="12.140625" bestFit="1" customWidth="1"/>
    <col min="4" max="4" width="14.5703125" bestFit="1" customWidth="1"/>
    <col min="5" max="5" width="20.42578125" bestFit="1" customWidth="1"/>
    <col min="6" max="6" width="24.42578125" bestFit="1" customWidth="1"/>
    <col min="7" max="7" width="12" bestFit="1" customWidth="1"/>
    <col min="8" max="8" width="13.28515625" bestFit="1" customWidth="1"/>
  </cols>
  <sheetData>
    <row r="1" spans="1:8">
      <c r="A1" s="68" t="s">
        <v>1335</v>
      </c>
      <c r="B1" s="68" t="s">
        <v>1336</v>
      </c>
      <c r="C1" s="68" t="s">
        <v>1344</v>
      </c>
      <c r="D1" s="68" t="s">
        <v>1337</v>
      </c>
      <c r="E1" s="68" t="s">
        <v>1345</v>
      </c>
      <c r="F1" s="68" t="s">
        <v>1346</v>
      </c>
      <c r="G1" s="68" t="s">
        <v>1338</v>
      </c>
      <c r="H1" s="68" t="s">
        <v>1339</v>
      </c>
    </row>
    <row r="2" spans="1:8">
      <c r="A2" t="s">
        <v>1340</v>
      </c>
      <c r="B2" t="s">
        <v>1340</v>
      </c>
      <c r="C2" t="s">
        <v>1340</v>
      </c>
      <c r="D2" t="s">
        <v>1340</v>
      </c>
      <c r="E2" t="s">
        <v>1340</v>
      </c>
      <c r="F2" t="s">
        <v>1340</v>
      </c>
      <c r="G2">
        <v>1</v>
      </c>
      <c r="H2" t="s">
        <v>1340</v>
      </c>
    </row>
    <row r="3" spans="1:8">
      <c r="A3" t="s">
        <v>1334</v>
      </c>
      <c r="B3" t="s">
        <v>1341</v>
      </c>
      <c r="C3" t="s">
        <v>1347</v>
      </c>
      <c r="D3" t="s">
        <v>1342</v>
      </c>
      <c r="E3" t="s">
        <v>1340</v>
      </c>
      <c r="F3" t="s">
        <v>1340</v>
      </c>
      <c r="G3">
        <v>1.5</v>
      </c>
      <c r="H3" t="s">
        <v>1343</v>
      </c>
    </row>
    <row r="4" spans="1:8">
      <c r="A4" t="s">
        <v>1290</v>
      </c>
      <c r="B4" t="s">
        <v>1348</v>
      </c>
      <c r="C4" t="s">
        <v>1349</v>
      </c>
      <c r="D4" t="s">
        <v>1340</v>
      </c>
      <c r="E4" t="s">
        <v>19</v>
      </c>
      <c r="F4" t="s">
        <v>1340</v>
      </c>
      <c r="G4">
        <v>1.2</v>
      </c>
      <c r="H4" t="s">
        <v>1340</v>
      </c>
    </row>
    <row r="5" spans="1:8">
      <c r="A5" t="s">
        <v>1350</v>
      </c>
      <c r="B5" t="s">
        <v>1348</v>
      </c>
      <c r="C5" t="s">
        <v>1349</v>
      </c>
      <c r="D5" t="s">
        <v>1340</v>
      </c>
      <c r="E5" t="s">
        <v>43</v>
      </c>
      <c r="F5" t="s">
        <v>1340</v>
      </c>
      <c r="G5">
        <v>1.2</v>
      </c>
      <c r="H5" t="s">
        <v>1340</v>
      </c>
    </row>
    <row r="6" spans="1:8">
      <c r="A6" t="s">
        <v>1351</v>
      </c>
      <c r="B6" t="s">
        <v>1348</v>
      </c>
      <c r="C6" t="s">
        <v>1349</v>
      </c>
      <c r="D6" t="s">
        <v>1340</v>
      </c>
      <c r="E6" t="s">
        <v>41</v>
      </c>
      <c r="F6" t="s">
        <v>1340</v>
      </c>
      <c r="G6">
        <v>1.2</v>
      </c>
      <c r="H6" t="s">
        <v>1340</v>
      </c>
    </row>
    <row r="7" spans="1:8">
      <c r="A7" t="s">
        <v>1352</v>
      </c>
      <c r="B7" t="s">
        <v>1348</v>
      </c>
      <c r="C7" t="s">
        <v>1349</v>
      </c>
      <c r="D7" t="s">
        <v>1340</v>
      </c>
      <c r="E7" t="s">
        <v>34</v>
      </c>
      <c r="F7" t="s">
        <v>1340</v>
      </c>
      <c r="G7">
        <v>1.2</v>
      </c>
      <c r="H7" t="s">
        <v>1340</v>
      </c>
    </row>
    <row r="8" spans="1:8">
      <c r="A8" t="s">
        <v>1353</v>
      </c>
      <c r="B8" t="s">
        <v>1348</v>
      </c>
      <c r="C8" t="s">
        <v>1349</v>
      </c>
      <c r="D8" t="s">
        <v>1340</v>
      </c>
      <c r="E8" t="s">
        <v>35</v>
      </c>
      <c r="F8" t="s">
        <v>1340</v>
      </c>
      <c r="G8">
        <v>1.2</v>
      </c>
      <c r="H8" t="s">
        <v>1340</v>
      </c>
    </row>
    <row r="9" spans="1:8">
      <c r="A9" t="s">
        <v>1354</v>
      </c>
      <c r="B9" t="s">
        <v>1348</v>
      </c>
      <c r="C9" t="s">
        <v>1349</v>
      </c>
      <c r="D9" t="s">
        <v>1340</v>
      </c>
      <c r="E9" t="s">
        <v>46</v>
      </c>
      <c r="F9" t="s">
        <v>1340</v>
      </c>
      <c r="G9">
        <v>1.2</v>
      </c>
      <c r="H9" t="s">
        <v>1340</v>
      </c>
    </row>
    <row r="10" spans="1:8">
      <c r="A10" t="s">
        <v>1294</v>
      </c>
      <c r="B10" t="s">
        <v>1348</v>
      </c>
      <c r="C10" t="s">
        <v>1349</v>
      </c>
      <c r="D10" t="s">
        <v>1340</v>
      </c>
      <c r="E10" t="s">
        <v>38</v>
      </c>
      <c r="F10" t="s">
        <v>1340</v>
      </c>
      <c r="G10">
        <v>1.2</v>
      </c>
      <c r="H10" t="s">
        <v>1340</v>
      </c>
    </row>
    <row r="11" spans="1:8">
      <c r="A11" t="s">
        <v>1355</v>
      </c>
      <c r="B11" t="s">
        <v>1348</v>
      </c>
      <c r="C11" t="s">
        <v>1349</v>
      </c>
      <c r="D11" t="s">
        <v>1340</v>
      </c>
      <c r="E11" t="s">
        <v>44</v>
      </c>
      <c r="F11" t="s">
        <v>1340</v>
      </c>
      <c r="G11">
        <v>1.2</v>
      </c>
      <c r="H11" t="s">
        <v>1340</v>
      </c>
    </row>
    <row r="12" spans="1:8">
      <c r="A12" t="s">
        <v>1295</v>
      </c>
      <c r="B12" t="s">
        <v>1348</v>
      </c>
      <c r="C12" t="s">
        <v>1349</v>
      </c>
      <c r="D12" t="s">
        <v>1340</v>
      </c>
      <c r="E12" t="s">
        <v>1340</v>
      </c>
      <c r="F12" t="s">
        <v>42</v>
      </c>
      <c r="G12">
        <v>1.1000000000000001</v>
      </c>
      <c r="H12" t="s">
        <v>1340</v>
      </c>
    </row>
    <row r="13" spans="1:8">
      <c r="A13" t="s">
        <v>1293</v>
      </c>
      <c r="B13" t="s">
        <v>1348</v>
      </c>
      <c r="C13" t="s">
        <v>1349</v>
      </c>
      <c r="D13" t="s">
        <v>1340</v>
      </c>
      <c r="E13" t="s">
        <v>1340</v>
      </c>
      <c r="F13" t="s">
        <v>1340</v>
      </c>
      <c r="G13">
        <v>1.2</v>
      </c>
      <c r="H13" t="s">
        <v>911</v>
      </c>
    </row>
    <row r="14" spans="1:8">
      <c r="A14" t="s">
        <v>1297</v>
      </c>
      <c r="B14" t="s">
        <v>1348</v>
      </c>
      <c r="C14" t="s">
        <v>1349</v>
      </c>
      <c r="D14" t="s">
        <v>1340</v>
      </c>
      <c r="E14" t="s">
        <v>24</v>
      </c>
      <c r="F14" t="s">
        <v>1340</v>
      </c>
      <c r="G14">
        <v>1.2</v>
      </c>
      <c r="H14" t="s">
        <v>1340</v>
      </c>
    </row>
    <row r="15" spans="1:8">
      <c r="A15" t="s">
        <v>1289</v>
      </c>
      <c r="B15" t="s">
        <v>1340</v>
      </c>
      <c r="C15" t="s">
        <v>1340</v>
      </c>
      <c r="D15" t="s">
        <v>1340</v>
      </c>
      <c r="E15" t="s">
        <v>1340</v>
      </c>
      <c r="F15" t="s">
        <v>1340</v>
      </c>
      <c r="G15">
        <v>1</v>
      </c>
      <c r="H15" t="s">
        <v>1340</v>
      </c>
    </row>
    <row r="16" spans="1:8">
      <c r="A16" t="s">
        <v>1365</v>
      </c>
      <c r="B16" t="s">
        <v>1348</v>
      </c>
      <c r="C16" t="s">
        <v>1349</v>
      </c>
      <c r="D16" t="s">
        <v>1340</v>
      </c>
      <c r="E16" t="s">
        <v>23</v>
      </c>
      <c r="F16" t="s">
        <v>1340</v>
      </c>
      <c r="G16">
        <v>1.2</v>
      </c>
      <c r="H16" t="s">
        <v>1340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fa792cf-7768-4341-8857-81754c2afa1f}" enabled="0" method="" siteId="{cfa792cf-7768-4341-8857-81754c2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 (or don't, whatever)</vt:lpstr>
      <vt:lpstr>Team Data</vt:lpstr>
      <vt:lpstr>Ability Rules</vt:lpstr>
      <vt:lpstr>Movelist</vt:lpstr>
      <vt:lpstr>Type Chart</vt:lpstr>
      <vt:lpstr>Opponent</vt:lpstr>
      <vt:lpstr>Compass</vt:lpstr>
      <vt:lpstr>Lists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Powers (He, Him)</dc:creator>
  <cp:lastModifiedBy>Cameron Powers (He, Him)</cp:lastModifiedBy>
  <dcterms:created xsi:type="dcterms:W3CDTF">2026-06-12T13:14:25Z</dcterms:created>
  <dcterms:modified xsi:type="dcterms:W3CDTF">2026-07-06T18:45:39Z</dcterms:modified>
</cp:coreProperties>
</file>